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tables/table2.xml" ContentType="application/vnd.openxmlformats-officedocument.spreadsheetml.table+xml"/>
  <Override PartName="/xl/worksheets/sheet5.xml" ContentType="application/vnd.openxmlformats-officedocument.spreadsheetml.worksheet+xml"/>
  <Override PartName="/xl/tables/table3.xml" ContentType="application/vnd.openxmlformats-officedocument.spreadsheetml.table+xml"/>
  <Override PartName="/xl/worksheets/sheet6.xml" ContentType="application/vnd.openxmlformats-officedocument.spreadsheetml.worksheet+xml"/>
  <Override PartName="/xl/tables/table4.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e9961d7dadc146dc" /></Relationships>
</file>

<file path=xl/workbook.xml><?xml version="1.0" encoding="utf-8"?>
<x:workbook xmlns:x="http://schemas.openxmlformats.org/spreadsheetml/2006/main">
  <x:sheets>
    <x:sheet xmlns:r="http://schemas.openxmlformats.org/officeDocument/2006/relationships" name="Strategy" sheetId="1" r:id="R03c4ee39db38497a"/>
    <x:sheet xmlns:r="http://schemas.openxmlformats.org/officeDocument/2006/relationships" name="30-Day Calendar" sheetId="2" r:id="Ra16bc5813d074290"/>
    <x:sheet xmlns:r="http://schemas.openxmlformats.org/officeDocument/2006/relationships" name="Channel Playbook" sheetId="3" r:id="Rea9ebb10f9384d90"/>
    <x:sheet xmlns:r="http://schemas.openxmlformats.org/officeDocument/2006/relationships" name="Measurement" sheetId="4" r:id="R08b15ddc396f4680"/>
    <x:sheet xmlns:r="http://schemas.openxmlformats.org/officeDocument/2006/relationships" name="Preflight" sheetId="5" r:id="R10d97a101fd34536"/>
    <x:sheet xmlns:r="http://schemas.openxmlformats.org/officeDocument/2006/relationships" name="Sources &amp; Guardrails" sheetId="6" r:id="Rff7ac8f9adce4d2d"/>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0"/>
    <x:numFmt numFmtId="201" formatCode="yyyy-mm-dd"/>
    <x:numFmt numFmtId="202" formatCode="0.0%"/>
  </x:numFmts>
  <x:fonts count="7">
    <x:font>
      <x:sz val="11"/>
      <x:name val="Carlito"/>
    </x:font>
    <x:font>
      <x:b/>
      <x:sz val="18"/>
      <x:color rgb="FFFFFFFF"/>
      <x:name val="Carlito"/>
    </x:font>
    <x:font>
      <x:sz val="10"/>
      <x:color rgb="FF1A1B24"/>
      <x:name val="Carlito"/>
    </x:font>
    <x:font>
      <x:b/>
      <x:sz val="10"/>
      <x:color rgb="FFFFFFFF"/>
      <x:name val="Carlito"/>
    </x:font>
    <x:font>
      <x:sz val="9"/>
      <x:color rgb="FF1A1B24"/>
      <x:name val="Carlito"/>
    </x:font>
    <x:font>
      <x:b/>
      <x:sz val="9"/>
      <x:color rgb="FF50599B"/>
      <x:name val="Carlito"/>
    </x:font>
    <x:font>
      <x:b/>
      <x:sz val="10"/>
      <x:color rgb="FF1A1B24"/>
      <x:name val="Carlito"/>
    </x:font>
  </x:fonts>
  <x:fills count="7">
    <x:fill>
      <x:patternFill patternType="none"/>
    </x:fill>
    <x:fill>
      <x:patternFill patternType="gray125"/>
    </x:fill>
    <x:fill>
      <x:patternFill patternType="solid">
        <x:fgColor rgb="FF1A1B24"/>
      </x:patternFill>
    </x:fill>
    <x:fill>
      <x:patternFill patternType="solid">
        <x:fgColor rgb="FFE9EDFF"/>
      </x:patternFill>
    </x:fill>
    <x:fill>
      <x:patternFill patternType="solid">
        <x:fgColor rgb="FF5168FF"/>
      </x:patternFill>
    </x:fill>
    <x:fill>
      <x:patternFill patternType="solid">
        <x:fgColor rgb="FFFFFFFF"/>
      </x:patternFill>
    </x:fill>
    <x:fill>
      <x:patternFill patternType="solid">
        <x:fgColor rgb="FFFFF5D6"/>
      </x:patternFill>
    </x:fill>
  </x:fills>
  <x:borders count="3">
    <x:border/>
    <x:border>
      <x:bottom style="thin">
        <x:color rgb="FFD7DDF2"/>
      </x:bottom>
    </x:border>
    <x:border>
      <x:top style="thin">
        <x:color rgb="FFD7DDF2"/>
      </x:top>
      <x:bottom style="thin">
        <x:color rgb="FFD7DDF2"/>
      </x:bottom>
    </x:border>
  </x:borders>
  <x:cellStyleXfs count="1">
    <x:xf numFmtId="0" fontId="0" fillId="0" borderId="0"/>
  </x:cellStyleXfs>
  <x:cellXfs count="44">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horizontal="left" wrapText="1"/>
    </x:xf>
    <x:xf numFmtId="0" fontId="3" fillId="4" borderId="0" xfId="0" applyNumberFormat="1" applyFont="1" applyFill="1" applyBorder="1" applyAlignment="1">
      <x:alignment horizontal="left" vertical="center" wrapText="1"/>
    </x:xf>
    <x:xf numFmtId="0" fontId="0" fillId="5" borderId="0" xfId="0" applyNumberFormat="1" applyFont="1" applyFill="1" applyBorder="1"/>
    <x:xf numFmtId="0" fontId="4" fillId="5" borderId="0" xfId="0" applyNumberFormat="1" applyFont="1" applyFill="1" applyBorder="1"/>
    <x:xf numFmtId="0" fontId="4" fillId="5" borderId="1" xfId="0" applyNumberFormat="1" applyFont="1" applyFill="1" applyBorder="1"/>
    <x:xf numFmtId="0" fontId="4" fillId="5" borderId="2" xfId="0" applyNumberFormat="1" applyFont="1" applyFill="1" applyBorder="1"/>
    <x:xf numFmtId="0" fontId="4" fillId="5" borderId="1" xfId="0" applyNumberFormat="1" applyFont="1" applyFill="1" applyBorder="1" applyAlignment="1">
      <x:alignment wrapText="1"/>
    </x:xf>
    <x:xf numFmtId="0" fontId="4" fillId="5" borderId="2" xfId="0" applyNumberFormat="1" applyFont="1" applyFill="1" applyBorder="1" applyAlignment="1">
      <x:alignment wrapText="1"/>
    </x:xf>
    <x:xf numFmtId="0" fontId="4" fillId="5" borderId="1" xfId="0" applyNumberFormat="1" applyFont="1" applyFill="1" applyBorder="1" applyAlignment="1">
      <x:alignment horizontal="left" wrapText="1"/>
    </x:xf>
    <x:xf numFmtId="0" fontId="4" fillId="5" borderId="2" xfId="0" applyNumberFormat="1" applyFont="1" applyFill="1" applyBorder="1" applyAlignment="1">
      <x:alignment horizontal="left" wrapText="1"/>
    </x:xf>
    <x:xf numFmtId="0" fontId="4" fillId="5" borderId="1" xfId="0" applyNumberFormat="1" applyFont="1" applyFill="1" applyBorder="1" applyAlignment="1">
      <x:alignment horizontal="left" vertical="top" wrapText="1"/>
    </x:xf>
    <x:xf numFmtId="0" fontId="4" fillId="5" borderId="2" xfId="0" applyNumberFormat="1" applyFont="1" applyFill="1" applyBorder="1" applyAlignment="1">
      <x:alignment horizontal="left" vertical="top" wrapText="1"/>
    </x:xf>
    <x:xf numFmtId="0" fontId="5" fillId="5" borderId="1" xfId="0" applyNumberFormat="1" applyFont="1" applyFill="1" applyBorder="1" applyAlignment="1">
      <x:alignment horizontal="left" vertical="top" wrapText="1"/>
    </x:xf>
    <x:xf numFmtId="0" fontId="5" fillId="5" borderId="2" xfId="0" applyNumberFormat="1" applyFont="1" applyFill="1" applyBorder="1" applyAlignment="1">
      <x:alignment horizontal="left" vertical="top" wrapText="1"/>
    </x:xf>
    <x:xf numFmtId="200" fontId="4" fillId="5" borderId="1" xfId="0" applyNumberFormat="1" applyFont="1" applyFill="1" applyBorder="1" applyAlignment="1">
      <x:alignment horizontal="left" vertical="top" wrapText="1"/>
    </x:xf>
    <x:xf numFmtId="200" fontId="4" fillId="5" borderId="2" xfId="0" applyNumberFormat="1" applyFont="1" applyFill="1" applyBorder="1" applyAlignment="1">
      <x:alignment horizontal="left" vertical="top" wrapText="1"/>
    </x:xf>
    <x:xf numFmtId="0" fontId="0" fillId="6" borderId="0" xfId="0" applyNumberFormat="1" applyFont="1" applyFill="1" applyBorder="1"/>
    <x:xf numFmtId="0" fontId="6" fillId="6" borderId="0" xfId="0" applyNumberFormat="1" applyFont="1" applyFill="1" applyBorder="1"/>
    <x:xf numFmtId="0" fontId="6" fillId="6" borderId="0" xfId="0" applyNumberFormat="1" applyFont="1" applyFill="1" applyBorder="1" applyAlignment="1">
      <x:alignment wrapText="1"/>
    </x:xf>
    <x:xf numFmtId="0" fontId="6" fillId="6" borderId="0" xfId="0" applyNumberFormat="1" applyFont="1" applyFill="1" applyBorder="1" applyAlignment="1">
      <x:alignment vertical="center" wrapText="1"/>
    </x:xf>
    <x:xf numFmtId="0" fontId="4" fillId="5" borderId="1" xfId="0" applyNumberFormat="1" applyFont="1" applyFill="1" applyBorder="1" applyAlignment="1">
      <x:alignment horizontal="center" vertical="top" wrapText="1"/>
    </x:xf>
    <x:xf numFmtId="0" fontId="4" fillId="5" borderId="2" xfId="0" applyNumberFormat="1" applyFont="1" applyFill="1" applyBorder="1" applyAlignment="1">
      <x:alignment horizontal="center" vertical="top" wrapText="1"/>
    </x:xf>
    <x:xf numFmtId="201" fontId="4" fillId="5" borderId="1" xfId="0" applyNumberFormat="1" applyFont="1" applyFill="1" applyBorder="1" applyAlignment="1">
      <x:alignment horizontal="left" vertical="top" wrapText="1"/>
    </x:xf>
    <x:xf numFmtId="201" fontId="4" fillId="5" borderId="2" xfId="0" applyNumberFormat="1" applyFont="1" applyFill="1" applyBorder="1" applyAlignment="1">
      <x:alignment horizontal="left" vertical="top" wrapText="1"/>
    </x:xf>
    <x:xf numFmtId="201" fontId="4" fillId="5" borderId="1" xfId="0" applyNumberFormat="1" applyFont="1" applyFill="1" applyBorder="1" applyAlignment="1">
      <x:alignment horizontal="center" vertical="top" wrapText="1"/>
    </x:xf>
    <x:xf numFmtId="201" fontId="4" fillId="5" borderId="2" xfId="0" applyNumberFormat="1" applyFont="1" applyFill="1" applyBorder="1" applyAlignment="1">
      <x:alignment horizontal="center" vertical="top" wrapText="1"/>
    </x:xf>
    <x:xf numFmtId="0" fontId="6" fillId="5" borderId="1" xfId="0" applyNumberFormat="1" applyFont="1" applyFill="1" applyBorder="1" applyAlignment="1">
      <x:alignment horizontal="left" vertical="top" wrapText="1"/>
    </x:xf>
    <x:xf numFmtId="0" fontId="6" fillId="5" borderId="2" xfId="0" applyNumberFormat="1" applyFont="1" applyFill="1" applyBorder="1" applyAlignment="1">
      <x:alignment horizontal="left" vertical="top" wrapText="1"/>
    </x:xf>
    <x:xf numFmtId="0" fontId="4" fillId="6" borderId="1" xfId="0" applyNumberFormat="1" applyFont="1" applyFill="1" applyBorder="1" applyAlignment="1">
      <x:alignment horizontal="left" vertical="top" wrapText="1"/>
    </x:xf>
    <x:xf numFmtId="0" fontId="4" fillId="6" borderId="2" xfId="0" applyNumberFormat="1" applyFont="1" applyFill="1" applyBorder="1" applyAlignment="1">
      <x:alignment horizontal="left" vertical="top" wrapText="1"/>
    </x:xf>
    <x:xf numFmtId="202" fontId="4" fillId="5" borderId="1" xfId="0" applyNumberFormat="1" applyFont="1" applyFill="1" applyBorder="1" applyAlignment="1">
      <x:alignment horizontal="left" vertical="top" wrapText="1"/>
    </x:xf>
    <x:xf numFmtId="202" fontId="4" fillId="5" borderId="2" xfId="0" applyNumberFormat="1" applyFont="1" applyFill="1" applyBorder="1" applyAlignment="1">
      <x:alignment horizontal="left" vertical="top" wrapText="1"/>
    </x:xf>
  </x:cellXfs>
  <x:cellStyles count="1">
    <x:cellStyle name="Normal" xfId="0"/>
  </x:cellStyles>
  <x:dxfs count="8">
    <x:dxf>
      <x:fill>
        <x:patternFill patternType="solid">
          <x:bgColor rgb="FFE9EDFF"/>
        </x:patternFill>
      </x:fill>
    </x:dxf>
    <x:dxf>
      <x:fill>
        <x:patternFill patternType="solid">
          <x:bgColor rgb="FFF0EAFE"/>
        </x:patternFill>
      </x:fill>
    </x:dxf>
    <x:dxf>
      <x:fill>
        <x:patternFill patternType="solid">
          <x:bgColor rgb="FFE8F6EF"/>
        </x:patternFill>
      </x:fill>
    </x:dxf>
    <x:dxf>
      <x:fill>
        <x:patternFill patternType="solid">
          <x:bgColor rgb="FFFFF5D6"/>
        </x:patternFill>
      </x:fill>
    </x:dxf>
    <x:dxf>
      <x:font>
        <x:b/>
        <x:color rgb="FF1A1B24"/>
      </x:font>
      <x:fill>
        <x:patternFill patternType="solid">
          <x:bgColor rgb="FFE8F6EF"/>
        </x:patternFill>
      </x:fill>
    </x:dxf>
    <x:dxf>
      <x:font>
        <x:b/>
        <x:color rgb="FF1A1B24"/>
      </x:font>
      <x:fill>
        <x:patternFill patternType="solid">
          <x:bgColor rgb="FFFDEBEC"/>
        </x:patternFill>
      </x:fill>
    </x:dxf>
    <x:dxf>
      <x:font>
        <x:b/>
        <x:color rgb="FF1A1B24"/>
      </x:font>
      <x:fill>
        <x:patternFill patternType="solid">
          <x:bgColor rgb="FFE8F6EF"/>
        </x:patternFill>
      </x:fill>
    </x:dxf>
    <x:dxf>
      <x:font>
        <x:b/>
        <x:color rgb="FF1A1B24"/>
      </x:font>
      <x:fill>
        <x:patternFill patternType="solid">
          <x:bgColor rgb="FFFDEBE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092dc23005bf45f3" /><Relationship Type="http://schemas.openxmlformats.org/officeDocument/2006/relationships/theme" Target="/xl/theme/theme1.xml" Id="Rdb5a0105f3094f04" /><Relationship Type="http://schemas.openxmlformats.org/officeDocument/2006/relationships/sharedStrings" Target="/xl/sharedStrings.xml" Id="R8652ef5791c4480c" /><Relationship Type="http://schemas.openxmlformats.org/officeDocument/2006/relationships/worksheet" Target="/xl/worksheets/sheet1.xml" Id="R03c4ee39db38497a" /><Relationship Type="http://schemas.openxmlformats.org/officeDocument/2006/relationships/worksheet" Target="/xl/worksheets/sheet2.xml" Id="Ra16bc5813d074290" /><Relationship Type="http://schemas.openxmlformats.org/officeDocument/2006/relationships/worksheet" Target="/xl/worksheets/sheet3.xml" Id="Rea9ebb10f9384d90" /><Relationship Type="http://schemas.openxmlformats.org/officeDocument/2006/relationships/worksheet" Target="/xl/worksheets/sheet4.xml" Id="R08b15ddc396f4680" /><Relationship Type="http://schemas.openxmlformats.org/officeDocument/2006/relationships/worksheet" Target="/xl/worksheets/sheet5.xml" Id="R10d97a101fd34536" /><Relationship Type="http://schemas.openxmlformats.org/officeDocument/2006/relationships/worksheet" Target="/xl/worksheets/sheet6.xml" Id="Rff7ac8f9adce4d2d" /></Relationships>
</file>

<file path=xl/tables/table1.xml><?xml version="1.0" encoding="utf-8"?>
<x:table xmlns:x="http://schemas.openxmlformats.org/spreadsheetml/2006/main" id="1" name="CalendarTable" displayName="CalendarTable" ref="A5:S35" headerRowCount="1" totalsRowCount="0" totalsRowShown="0">
  <x:autoFilter ref="A5:S35"/>
  <x:tableColumns count="19">
    <x:tableColumn id="1" name="Day"/>
    <x:tableColumn id="2" name="Date"/>
    <x:tableColumn id="3" name="Phase"/>
    <x:tableColumn id="4" name="Type"/>
    <x:tableColumn id="5" name="Objective"/>
    <x:tableColumn id="6" name="Primary Channel"/>
    <x:tableColumn id="7" name="Format"/>
    <x:tableColumn id="8" name="Hook"/>
    <x:tableColumn id="9" name="Caption Draft"/>
    <x:tableColumn id="10" name="Visual Direction"/>
    <x:tableColumn id="11" name="Call to Action"/>
    <x:tableColumn id="12" name="Proof / Source"/>
    <x:tableColumn id="13" name="Guardrail / Hold Condition"/>
    <x:tableColumn id="14" name="Repurpose"/>
    <x:tableColumn id="15" name="Primary KPI"/>
    <x:tableColumn id="16" name="Status"/>
    <x:tableColumn id="17" name="Owner"/>
    <x:tableColumn id="18" name="Result / Link"/>
    <x:tableColumn id="19" name="Notes"/>
  </x:tableColumns>
  <x:tableStyleInfo name="TableStyleMedium2" showFirstColumn="0" showLastColumn="0" showRowStripes="0" showColumnStripes="0"/>
</x:table>
</file>

<file path=xl/tables/table2.xml><?xml version="1.0" encoding="utf-8"?>
<x:table xmlns:x="http://schemas.openxmlformats.org/spreadsheetml/2006/main" id="2" name="MeasurementTable" displayName="MeasurementTable" ref="A5:P35" headerRowCount="1" totalsRowCount="0" totalsRowShown="0">
  <x:autoFilter ref="A5:P35"/>
  <x:tableColumns count="16">
    <x:tableColumn id="1" name="Day"/>
    <x:tableColumn id="2" name="Date"/>
    <x:tableColumn id="3" name="Content Type"/>
    <x:tableColumn id="4" name="Primary Channel"/>
    <x:tableColumn id="5" name="Status"/>
    <x:tableColumn id="6" name="Views"/>
    <x:tableColumn id="7" name="Qualified Visits"/>
    <x:tableColumn id="8" name="Meaningful Actions"/>
    <x:tableColumn id="9" name="Action Rate"/>
    <x:tableColumn id="10" name="7-Day Returns"/>
    <x:tableColumn id="11" name="Return Rate"/>
    <x:tableColumn id="12" name="Saves"/>
    <x:tableColumn id="13" name="Substantive Replies"/>
    <x:tableColumn id="14" name="Blue Radio Tune-Ins"/>
    <x:tableColumn id="15" name="Source Clicks"/>
    <x:tableColumn id="16" name="Notes"/>
  </x:tableColumns>
  <x:tableStyleInfo name="TableStyleMedium2" showFirstColumn="0" showLastColumn="0" showRowStripes="0" showColumnStripes="0"/>
</x:table>
</file>

<file path=xl/tables/table3.xml><?xml version="1.0" encoding="utf-8"?>
<x:table xmlns:x="http://schemas.openxmlformats.org/spreadsheetml/2006/main" id="3" name="PreflightTable" displayName="PreflightTable" ref="A5:J35" headerRowCount="1" totalsRowCount="0" totalsRowShown="0">
  <x:autoFilter ref="A5:J35"/>
  <x:tableColumns count="10">
    <x:tableColumn id="1" name="Day"/>
    <x:tableColumn id="2" name="Date"/>
    <x:tableColumn id="3" name="Source Opened"/>
    <x:tableColumn id="4" name="Product Route Tested"/>
    <x:tableColumn id="5" name="Consent Stored"/>
    <x:tableColumn id="6" name="Disclosure Added"/>
    <x:tableColumn id="7" name="Metric Instrumented"/>
    <x:tableColumn id="8" name="Hold Cleared"/>
    <x:tableColumn id="9" name="Fallback Ready"/>
    <x:tableColumn id="10" name="Reviewer Notes"/>
  </x:tableColumns>
  <x:tableStyleInfo name="TableStyleMedium2" showFirstColumn="0" showLastColumn="0" showRowStripes="0" showColumnStripes="0"/>
</x:table>
</file>

<file path=xl/tables/table4.xml><?xml version="1.0" encoding="utf-8"?>
<x:table xmlns:x="http://schemas.openxmlformats.org/spreadsheetml/2006/main" id="4" name="SourcesTable" displayName="SourcesTable" ref="A4:H20" headerRowCount="1" totalsRowCount="0" totalsRowShown="0">
  <x:autoFilter ref="A4:H20"/>
  <x:tableColumns count="8">
    <x:tableColumn id="1" name="ID"/>
    <x:tableColumn id="2" name="Category"/>
    <x:tableColumn id="3" name="Source"/>
    <x:tableColumn id="4" name="Publisher / Date"/>
    <x:tableColumn id="5" name="Use in Calendar"/>
    <x:tableColumn id="6" name="Direct URL or Local Path"/>
    <x:tableColumn id="7" name="Evidence Type"/>
    <x:tableColumn id="8" name="Publication Caveat"/>
  </x:tableColumns>
  <x:tableStyleInfo name="TableStyleMedium2" showFirstColumn="0" showLastColumn="0" showRowStripes="0"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3b6e89870d144441" /></Relationships>
</file>

<file path=xl/worksheets/_rels/sheet4.xml.rels>&#65279;<?xml version="1.0" encoding="utf-8"?><Relationships xmlns="http://schemas.openxmlformats.org/package/2006/relationships"><Relationship Type="http://schemas.openxmlformats.org/officeDocument/2006/relationships/table" Target="/xl/tables/table2.xml" Id="Rb0c70bbe8cd24325" /></Relationships>
</file>

<file path=xl/worksheets/_rels/sheet5.xml.rels>&#65279;<?xml version="1.0" encoding="utf-8"?><Relationships xmlns="http://schemas.openxmlformats.org/package/2006/relationships"><Relationship Type="http://schemas.openxmlformats.org/officeDocument/2006/relationships/table" Target="/xl/tables/table3.xml" Id="R94d19463bbe84042" /></Relationships>
</file>

<file path=xl/worksheets/_rels/sheet6.xml.rels>&#65279;<?xml version="1.0" encoding="utf-8"?><Relationships xmlns="http://schemas.openxmlformats.org/package/2006/relationships"><Relationship Type="http://schemas.openxmlformats.org/officeDocument/2006/relationships/table" Target="/xl/tables/table4.xml" Id="Rcfd04def2eb94a3e" /></Relationships>
</file>

<file path=xl/worksheets/sheet1.xml><?xml version="1.0" encoding="utf-8"?>
<x:worksheet xmlns:x="http://schemas.openxmlformats.org/spreadsheetml/2006/main">
  <x:sheetViews>
    <x:sheetView showGridLines="0" workbookViewId="0"/>
  </x:sheetViews>
  <x:sheetFormatPr defaultRowHeight="15"/>
  <x:cols>
    <x:col min="1" max="1" width="22" hidden="0" customWidth="1"/>
    <x:col min="2" max="2" width="74" hidden="0" customWidth="1"/>
    <x:col min="3" max="3" width="3" hidden="0" customWidth="1"/>
    <x:col min="4" max="4" width="23" hidden="0" customWidth="1"/>
    <x:col min="5" max="5" width="24" hidden="0" customWidth="1"/>
    <x:col min="6" max="6" width="26" hidden="0" customWidth="1"/>
    <x:col min="7" max="7" width="26" hidden="0" customWidth="1"/>
    <x:col min="8" max="8" width="28" hidden="0" customWidth="1"/>
  </x:cols>
  <x:sheetData>
    <x:row r="1" ht="34" customHeight="1">
      <x:c r="A1" s="4" t="str">
        <x:v>Thirty Days of Fieldwork with Blue</x:v>
      </x:c>
      <x:c r="B1" s="4"/>
      <x:c r="C1" s="4"/>
      <x:c r="D1" s="4"/>
      <x:c r="E1" s="4"/>
      <x:c r="F1" s="4"/>
      <x:c r="G1" s="4"/>
      <x:c r="H1" s="4"/>
    </x:row>
    <x:row r="2" ht="30" customHeight="1">
      <x:c r="A2" s="8" t="str">
        <x:v>2026-07-20 to 2026-08-18 · America/New_York · Built for a solo-founder publishing and learning loop</x:v>
      </x:c>
      <x:c r="B2" s="8"/>
      <x:c r="C2" s="8"/>
      <x:c r="D2" s="8"/>
      <x:c r="E2" s="8"/>
      <x:c r="F2" s="8"/>
      <x:c r="G2" s="8"/>
      <x:c r="H2" s="8"/>
    </x:row>
    <x:row r="4" ht="34" customHeight="1">
      <x:c r="A4" s="13" t="str">
        <x:v>Campaign field</x:v>
      </x:c>
      <x:c r="B4" s="13" t="str">
        <x:v>Decision</x:v>
      </x:c>
      <x:c r="D4" s="13" t="str">
        <x:v>Content mix</x:v>
      </x:c>
      <x:c r="E4" s="13" t="str">
        <x:v>Planned</x:v>
      </x:c>
    </x:row>
    <x:row r="5" ht="44" customHeight="1">
      <x:c r="A5" s="24" t="str">
        <x:v>Core definition</x:v>
      </x:c>
      <x:c r="B5" s="22" t="str">
        <x:v>Mental Wealth Academy is a social-first gameworld for learning, research, and rewards.</x:v>
      </x:c>
      <x:c r="D5" s="24" t="str">
        <x:v>Product proof</x:v>
      </x:c>
      <x:c r="E5" s="26" t="n">
        <x:f>COUNTIF('30-Day Calendar'!$D$6:$D$35,D5)</x:f>
        <x:v>12</x:v>
      </x:c>
    </x:row>
    <x:row r="6" ht="44" customHeight="1">
      <x:c r="A6" s="25" t="str">
        <x:v>Primary audience</x:v>
      </x:c>
      <x:c r="B6" s="23" t="str">
        <x:v>U.S. adults ages 18–25 who already use online media for learning, psychology, self-reflection, or creator-led education</x:v>
      </x:c>
      <x:c r="D6" s="25" t="str">
        <x:v>Academic</x:v>
      </x:c>
      <x:c r="E6" s="27" t="n">
        <x:f>COUNTIF('30-Day Calendar'!$D$6:$D$35,D6)</x:f>
        <x:v>8</x:v>
      </x:c>
    </x:row>
    <x:row r="7" ht="44" customHeight="1">
      <x:c r="A7" s="25" t="str">
        <x:v>Blue Radio position</x:v>
      </x:c>
      <x:c r="B7" s="23" t="str">
        <x:v>Blue Radio is the Academy's ambient platform field guide: a synchronized, character-led orientation broadcast with ten prerecorded chapters in the current episode.</x:v>
      </x:c>
      <x:c r="D7" s="25" t="str">
        <x:v>Participant</x:v>
      </x:c>
      <x:c r="E7" s="27" t="n">
        <x:f>COUNTIF('30-Day Calendar'!$D$6:$D$35,D7)</x:f>
        <x:v>5</x:v>
      </x:c>
    </x:row>
    <x:row r="8" ht="44" customHeight="1">
      <x:c r="A8" s="25" t="str">
        <x:v>Primary goal</x:v>
      </x:c>
      <x:c r="B8" s="23" t="str">
        <x:v>Move qualified viewers into one first meaningful action: open a guide, start a mission, write a field note, inspect a quest, or tune in to Blue Radio.</x:v>
      </x:c>
      <x:c r="D8" s="25" t="str">
        <x:v>Community ritual</x:v>
      </x:c>
      <x:c r="E8" s="27" t="n">
        <x:f>COUNTIF('30-Day Calendar'!$D$6:$D$35,D8)</x:f>
        <x:v>3</x:v>
      </x:c>
    </x:row>
    <x:row r="9" ht="44" customHeight="1">
      <x:c r="A9" s="25" t="str">
        <x:v>Operating rule</x:v>
      </x:c>
      <x:c r="B9" s="23" t="str">
        <x:v>Every post must teach one useful idea, demonstrate one real product action, document one learning, or ask one precise research question. Produce one master asset per day; cross-post only where the same asset fits without a second shoot or new research pass.</x:v>
      </x:c>
      <x:c r="D9" s="25" t="str">
        <x:v>Build note</x:v>
      </x:c>
      <x:c r="E9" s="27" t="n">
        <x:f>COUNTIF('30-Day Calendar'!$D$6:$D$35,D9)</x:f>
        <x:v>2</x:v>
      </x:c>
    </x:row>
    <x:row r="10" ht="44" customHeight="1">
      <x:c r="A10" s="25" t="str">
        <x:v>Primary value event</x:v>
      </x:c>
      <x:c r="B10" s="23" t="str">
        <x:v>First meaningful action completed within 24 hours of a content click</x:v>
      </x:c>
    </x:row>
    <x:row r="11" ht="34" customHeight="1">
      <x:c r="D11" s="13" t="str">
        <x:v>Weekly micro-launch loop</x:v>
      </x:c>
      <x:c r="E11" s="13" t="str">
        <x:v>Founder action</x:v>
      </x:c>
      <x:c r="F11" s="13" t="str">
        <x:v>Content action</x:v>
      </x:c>
      <x:c r="G11" s="13" t="str">
        <x:v>Audience action</x:v>
      </x:c>
      <x:c r="H11" s="13" t="str">
        <x:v>Decision</x:v>
      </x:c>
    </x:row>
    <x:row r="12" ht="50" customHeight="1">
      <x:c r="D12" s="24" t="str">
        <x:v>Observe</x:v>
      </x:c>
      <x:c r="E12" s="22" t="str">
        <x:v>Watch or speak with target learners</x:v>
      </x:c>
      <x:c r="F12" s="22" t="str">
        <x:v>Log exact questions and friction</x:v>
      </x:c>
      <x:c r="G12" s="22" t="str">
        <x:v>Describe one goal or obstacle</x:v>
      </x:c>
      <x:c r="H12" s="22" t="str">
        <x:v>Choose the question worth answering</x:v>
      </x:c>
    </x:row>
    <x:row r="13" ht="34" customHeight="1">
      <x:c r="A13" s="13" t="str">
        <x:v>Publication gates</x:v>
      </x:c>
      <x:c r="B13" s="13" t="str">
        <x:v>Rule</x:v>
      </x:c>
      <x:c r="D13" s="25" t="str">
        <x:v>Teach</x:v>
      </x:c>
      <x:c r="E13" s="23" t="str">
        <x:v>Verify one useful idea</x:v>
      </x:c>
      <x:c r="F13" s="23" t="str">
        <x:v>Publish a sourced explanation</x:v>
      </x:c>
      <x:c r="G13" s="23" t="str">
        <x:v>Save, question, or try the idea</x:v>
      </x:c>
      <x:c r="H13" s="23" t="str">
        <x:v>Keep only topics that create useful response</x:v>
      </x:c>
    </x:row>
    <x:row r="14" ht="48" customHeight="1">
      <x:c r="A14" s="24" t="str">
        <x:v>Go</x:v>
      </x:c>
      <x:c r="B14" s="22" t="str">
        <x:v>The post teaches, demonstrates, documents, or asks one precise research question.</x:v>
      </x:c>
      <x:c r="D14" s="25" t="str">
        <x:v>Demonstrate</x:v>
      </x:c>
      <x:c r="E14" s="23" t="str">
        <x:v>Record a real product route</x:v>
      </x:c>
      <x:c r="F14" s="23" t="str">
        <x:v>Show one complete learner job</x:v>
      </x:c>
      <x:c r="G14" s="23" t="str">
        <x:v>Complete the same bounded action</x:v>
      </x:c>
      <x:c r="H14" s="23" t="str">
        <x:v>Fix any break in the route</x:v>
      </x:c>
    </x:row>
    <x:row r="15" ht="48" customHeight="1">
      <x:c r="A15" s="25" t="str">
        <x:v>Hold</x:v>
      </x:c>
      <x:c r="B15" s="23" t="str">
        <x:v>A capability, number, testimonial, participant story, reward, price, deadline, or privacy claim lacks current proof.</x:v>
      </x:c>
      <x:c r="D15" s="25" t="str">
        <x:v>Invite</x:v>
      </x:c>
      <x:c r="E15" s="23" t="str">
        <x:v>Enter one aligned community carefully</x:v>
      </x:c>
      <x:c r="F15" s="23" t="str">
        <x:v>Post native value plus one request</x:v>
      </x:c>
      <x:c r="G15" s="23" t="str">
        <x:v>Give focused feedback</x:v>
      </x:c>
      <x:c r="H15" s="23" t="str">
        <x:v>Return only with a meaningful update</x:v>
      </x:c>
    </x:row>
    <x:row r="16" ht="48" customHeight="1">
      <x:c r="A16" s="25" t="str">
        <x:v>Blue Radio</x:v>
      </x:c>
      <x:c r="B16" s="23" t="str">
        <x:v>Describe the current episode as prerecorded, synchronized, character-led, and roughly five minutes.</x:v>
      </x:c>
      <x:c r="D16" s="25" t="str">
        <x:v>Improve</x:v>
      </x:c>
      <x:c r="E16" s="23" t="str">
        <x:v>Ship the smallest useful change</x:v>
      </x:c>
      <x:c r="F16" s="23" t="str">
        <x:v>Show what changed and why</x:v>
      </x:c>
      <x:c r="G16" s="23" t="str">
        <x:v>Retry the route</x:v>
      </x:c>
      <x:c r="H16" s="23" t="str">
        <x:v>Relaunch the improvement</x:v>
      </x:c>
    </x:row>
    <x:row r="17" ht="48" customHeight="1">
      <x:c r="A17" s="25" t="str">
        <x:v>Sensitive topics</x:v>
      </x:c>
      <x:c r="B17" s="23" t="str">
        <x:v>Keep education separate from diagnosis, treatment, crisis response, and promises of mental-health outcomes.</x:v>
      </x:c>
    </x:row>
    <x:row r="18" ht="48" customHeight="1">
      <x:c r="A18" s="25" t="str">
        <x:v>Rewards</x:v>
      </x:c>
      <x:c r="B18" s="23" t="str">
        <x:v>State the work and review standard before credits or a funded cash bounty. Keep infrastructure backstage.</x:v>
      </x:c>
    </x:row>
  </x:sheetData>
  <x:mergeCells>
    <x:mergeCell ref="A1:H1"/>
    <x:mergeCell ref="A2:H2"/>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6" hidden="0" customWidth="1"/>
    <x:col min="2" max="2" width="12" hidden="0" customWidth="1"/>
    <x:col min="3" max="3" width="25" hidden="0" customWidth="1"/>
    <x:col min="4" max="4" width="18" hidden="0" customWidth="1"/>
    <x:col min="5" max="5" width="30" hidden="0" customWidth="1"/>
    <x:col min="6" max="6" width="28" hidden="0" customWidth="1"/>
    <x:col min="7" max="7" width="25" hidden="0" customWidth="1"/>
    <x:col min="8" max="8" width="38" hidden="0" customWidth="1"/>
    <x:col min="9" max="9" width="62" hidden="0" customWidth="1"/>
    <x:col min="10" max="10" width="44" hidden="0" customWidth="1"/>
    <x:col min="11" max="11" width="34" hidden="0" customWidth="1"/>
    <x:col min="12" max="12" width="48" hidden="0" customWidth="1"/>
    <x:col min="13" max="13" width="52" hidden="0" customWidth="1"/>
    <x:col min="14" max="14" width="40" hidden="0" customWidth="1"/>
    <x:col min="15" max="15" width="30" hidden="0" customWidth="1"/>
    <x:col min="16" max="16" width="14" hidden="0" customWidth="1"/>
    <x:col min="17" max="17" width="16" hidden="0" customWidth="1"/>
    <x:col min="18" max="18" width="26" hidden="0" customWidth="1"/>
    <x:col min="19" max="19" width="32" hidden="0" customWidth="1"/>
  </x:cols>
  <x:sheetData>
    <x:row r="1" ht="34" customHeight="1">
      <x:c r="A1" s="4" t="str">
        <x:v>30-Day Editorial Calendar</x:v>
      </x:c>
      <x:c r="B1" s="4"/>
      <x:c r="C1" s="4"/>
      <x:c r="D1" s="4"/>
      <x:c r="E1" s="4"/>
      <x:c r="F1" s="4"/>
      <x:c r="G1" s="4"/>
      <x:c r="H1" s="4"/>
      <x:c r="I1" s="4"/>
      <x:c r="J1" s="4"/>
      <x:c r="K1" s="4"/>
      <x:c r="L1" s="4"/>
      <x:c r="M1" s="4"/>
      <x:c r="N1" s="4"/>
      <x:c r="O1" s="4"/>
      <x:c r="P1" s="4"/>
      <x:c r="Q1" s="4"/>
      <x:c r="R1" s="4"/>
      <x:c r="S1" s="4"/>
    </x:row>
    <x:row r="2" ht="30" customHeight="1">
      <x:c r="A2" s="8" t="str">
        <x:v>Dates are fixed. Posting windows are test slots, not industry benchmarks. Status, owner, result, and notes are editable operating fields.</x:v>
      </x:c>
      <x:c r="B2" s="8"/>
      <x:c r="C2" s="8"/>
      <x:c r="D2" s="8"/>
      <x:c r="E2" s="8"/>
      <x:c r="F2" s="8"/>
      <x:c r="G2" s="8"/>
      <x:c r="H2" s="8"/>
      <x:c r="I2" s="8"/>
      <x:c r="J2" s="8"/>
      <x:c r="K2" s="8"/>
      <x:c r="L2" s="8"/>
      <x:c r="M2" s="8"/>
      <x:c r="N2" s="8"/>
      <x:c r="O2" s="8"/>
      <x:c r="P2" s="8"/>
      <x:c r="Q2" s="8"/>
      <x:c r="R2" s="8"/>
      <x:c r="S2" s="8"/>
    </x:row>
    <x:row r="4" ht="34" customHeight="1">
      <x:c r="A4" s="31" t="str">
        <x:v>Positioning boundary: Blue Radio is an ambient platform field guide. Hold claims about live tutoring, personalization, real-time interaction, unique 24-hour programming, or learning outcomes.</x:v>
      </x:c>
      <x:c r="B4" s="31"/>
      <x:c r="C4" s="31"/>
      <x:c r="D4" s="31"/>
      <x:c r="E4" s="31"/>
      <x:c r="F4" s="31"/>
      <x:c r="G4" s="31"/>
      <x:c r="H4" s="31"/>
      <x:c r="I4" s="31"/>
      <x:c r="J4" s="31"/>
      <x:c r="K4" s="31"/>
      <x:c r="L4" s="31"/>
      <x:c r="M4" s="31"/>
      <x:c r="N4" s="31"/>
      <x:c r="O4" s="31"/>
      <x:c r="P4" s="31"/>
      <x:c r="Q4" s="31"/>
      <x:c r="R4" s="31"/>
      <x:c r="S4" s="31"/>
    </x:row>
    <x:row r="5" ht="34" customHeight="1">
      <x:c r="A5" s="13" t="str">
        <x:v>Day</x:v>
      </x:c>
      <x:c r="B5" s="13" t="str">
        <x:v>Date</x:v>
      </x:c>
      <x:c r="C5" s="13" t="str">
        <x:v>Phase</x:v>
      </x:c>
      <x:c r="D5" s="13" t="str">
        <x:v>Type</x:v>
      </x:c>
      <x:c r="E5" s="13" t="str">
        <x:v>Objective</x:v>
      </x:c>
      <x:c r="F5" s="13" t="str">
        <x:v>Primary Channel</x:v>
      </x:c>
      <x:c r="G5" s="13" t="str">
        <x:v>Format</x:v>
      </x:c>
      <x:c r="H5" s="13" t="str">
        <x:v>Hook</x:v>
      </x:c>
      <x:c r="I5" s="13" t="str">
        <x:v>Caption Draft</x:v>
      </x:c>
      <x:c r="J5" s="13" t="str">
        <x:v>Visual Direction</x:v>
      </x:c>
      <x:c r="K5" s="13" t="str">
        <x:v>Call to Action</x:v>
      </x:c>
      <x:c r="L5" s="13" t="str">
        <x:v>Proof / Source</x:v>
      </x:c>
      <x:c r="M5" s="13" t="str">
        <x:v>Guardrail / Hold Condition</x:v>
      </x:c>
      <x:c r="N5" s="13" t="str">
        <x:v>Repurpose</x:v>
      </x:c>
      <x:c r="O5" s="13" t="str">
        <x:v>Primary KPI</x:v>
      </x:c>
      <x:c r="P5" s="13" t="str">
        <x:v>Status</x:v>
      </x:c>
      <x:c r="Q5" s="13" t="str">
        <x:v>Owner</x:v>
      </x:c>
      <x:c r="R5" s="13" t="str">
        <x:v>Result / Link</x:v>
      </x:c>
      <x:c r="S5" s="13" t="str">
        <x:v>Notes</x:v>
      </x:c>
    </x:row>
    <x:row r="6" ht="88" customHeight="1">
      <x:c r="A6" s="32" t="n">
        <x:v>1</x:v>
      </x:c>
      <x:c r="B6" s="36" t="n">
        <x:v>46223.666666666664</x:v>
      </x:c>
      <x:c r="C6" s="22" t="str">
        <x:v>Week 1 — Open the field lab</x:v>
      </x:c>
      <x:c r="D6" s="24" t="str">
        <x:v>Community ritual</x:v>
      </x:c>
      <x:c r="E6" s="22" t="str">
        <x:v>Name the month and collect the audience's real questions.</x:v>
      </x:c>
      <x:c r="F6" s="22" t="str">
        <x:v>YouTube Shorts, TikTok, Instagram Reels</x:v>
      </x:c>
      <x:c r="G6" s="22" t="str">
        <x:v>30-second founder-and-Blue montage</x:v>
      </x:c>
      <x:c r="H6" s="38" t="str">
        <x:v>What is one question you wish school had helped you investigate?</x:v>
      </x:c>
      <x:c r="I6" s="22" t="str">
        <x:v>For the next 30 days, Mental Wealth Academy is running a field lab in public. One question. One useful idea. One action inside the Academy. Bring a question about psychology, media, attention, habits, or the systems shaping your choices.</x:v>
      </x:c>
      <x:c r="J6" s="22" t="str">
        <x:v>Open on a blank field-note page, cut to Blue Radio, the guide map, and one mission card. End on the campaign title and date range.</x:v>
      </x:c>
      <x:c r="K6" s="22" t="str">
        <x:v>Reply with one question. We will select questions that can be answered with a credible source and one useful Academy action this month.</x:v>
      </x:c>
      <x:c r="L6" s="22" t="str">
        <x:v>EDITORIAL.md v4.0; research/content-calendar/01-yc-marketing.md</x:v>
      </x:c>
      <x:c r="M6" s="22" t="str">
        <x:v>Before posting, set a written weekly selection limit. Do not promise that every question will be answered.</x:v>
      </x:c>
      <x:c r="N6" s="22" t="str">
        <x:v>Pin as the YouTube channel trailer for the month; post the question alone in Discord and one relevant community.</x:v>
      </x:c>
      <x:c r="O6" s="22" t="str">
        <x:v>Qualified questions received</x:v>
      </x:c>
      <x:c r="P6" s="40" t="str">
        <x:v>Planned</x:v>
      </x:c>
      <x:c r="Q6" s="40" t="str"/>
      <x:c r="R6" s="40" t="str"/>
      <x:c r="S6" s="40" t="str"/>
    </x:row>
    <x:row r="7" ht="88" customHeight="1">
      <x:c r="A7" s="33" t="n">
        <x:v>2</x:v>
      </x:c>
      <x:c r="B7" s="37" t="n">
        <x:v>46224.666666666664</x:v>
      </x:c>
      <x:c r="C7" s="23" t="str">
        <x:v>Week 1 — Open the field lab</x:v>
      </x:c>
      <x:c r="D7" s="25" t="str">
        <x:v>Academic</x:v>
      </x:c>
      <x:c r="E7" s="23" t="str">
        <x:v>Define the brand idea through a concrete reflective practice.</x:v>
      </x:c>
      <x:c r="F7" s="23" t="str">
        <x:v>Instagram carousel, YouTube Shorts</x:v>
      </x:c>
      <x:c r="G7" s="23" t="str">
        <x:v>Five-card concept lesson</x:v>
      </x:c>
      <x:c r="H7" s="39" t="str">
        <x:v>Make one action observable.</x:v>
      </x:c>
      <x:c r="I7" s="23" t="str">
        <x:v>Choose one action from today: a page of notes, a question you researched, or a decision you recorded. Write what happened and what changed. A field note turns reflection into an observation you can revisit.</x:v>
      </x:c>
      <x:c r="J7" s="23" t="str">
        <x:v>One concrete action per card. Final card shows the field-note screen with observation, interpretation, and meaning.</x:v>
      </x:c>
      <x:c r="K7" s="23" t="str">
        <x:v>Write one field note about an action you took today.</x:v>
      </x:c>
      <x:c r="L7" s="23" t="str">
        <x:v>components/daily-notes/DailyNotes.tsx; EDITORIAL.md v4.0</x:v>
      </x:c>
      <x:c r="M7" s="23" t="str">
        <x:v>Present this as a reflection practice, not a clinical outcome or financial measure.</x:v>
      </x:c>
      <x:c r="N7" s="23" t="str">
        <x:v>Use the first card as a Story prompt and the full carousel as a YouTube Community post.</x:v>
      </x:c>
      <x:c r="O7" s="23" t="str">
        <x:v>Saves and field-note opens</x:v>
      </x:c>
      <x:c r="P7" s="41" t="str">
        <x:v>Planned</x:v>
      </x:c>
      <x:c r="Q7" s="41" t="str"/>
      <x:c r="R7" s="41" t="str"/>
      <x:c r="S7" s="41" t="str"/>
    </x:row>
    <x:row r="8" ht="88" customHeight="1">
      <x:c r="A8" s="33" t="n">
        <x:v>3</x:v>
      </x:c>
      <x:c r="B8" s="37" t="n">
        <x:v>46225.666666666664</x:v>
      </x:c>
      <x:c r="C8" s="23" t="str">
        <x:v>Week 1 — Open the field lab</x:v>
      </x:c>
      <x:c r="D8" s="25" t="str">
        <x:v>Product proof</x:v>
      </x:c>
      <x:c r="E8" s="23" t="str">
        <x:v>Introduce Blue Radio with an accurate, memorable product demonstration.</x:v>
      </x:c>
      <x:c r="F8" s="23" t="str">
        <x:v>YouTube Shorts, TikTok, Instagram Reels</x:v>
      </x:c>
      <x:c r="G8" s="23" t="str">
        <x:v>Chapter montage with captions</x:v>
      </x:c>
      <x:c r="H8" s="39" t="str">
        <x:v>Five minutes. Ten chapters. One map of the Academy.</x:v>
      </x:c>
      <x:c r="I8" s="23" t="str">
        <x:v>Blue Radio is a synchronized field guide inside the Academy. The current prerecorded episode runs 4 minutes and 46 seconds across ten chapters about the course, field notes, quests, credits, the guide library, Blue, and community. Tune in anywhere in the loop, then open one feature she names.</x:v>
      </x:c>
      <x:c r="J8" s="23" t="str">
        <x:v>Show the Live tab, chapter titles changing, the audio-reactive avatar, and the 4:46 runtime in a small factual label.</x:v>
      </x:c>
      <x:c r="K8" s="23" t="str">
        <x:v>Tune in from the Live tab and choose one feature to open.</x:v>
      </x:c>
      <x:c r="L8" s="23" t="str">
        <x:v>components/blue-scene/BlueRadio.tsx; lib/blue-radio-manifest.json; research/content-calendar/08-blue-radio-positioning.md</x:v>
      </x:c>
      <x:c r="M8" s="23" t="str">
        <x:v>Label the current episode prerecorded. Avoid live tutor, interactive stream, personalized educator, and 24 hours of unique programming.</x:v>
      </x:c>
      <x:c r="N8" s="23" t="str">
        <x:v>Publish a 2–5 minute YouTube walkthrough showing every chapter title.</x:v>
      </x:c>
      <x:c r="O8" s="23" t="str">
        <x:v>Blue Radio tune-ins and post-listen feature opens</x:v>
      </x:c>
      <x:c r="P8" s="41" t="str">
        <x:v>Planned</x:v>
      </x:c>
      <x:c r="Q8" s="41" t="str"/>
      <x:c r="R8" s="41" t="str"/>
      <x:c r="S8" s="41" t="str"/>
    </x:row>
    <x:row r="9" ht="88" customHeight="1">
      <x:c r="A9" s="33" t="n">
        <x:v>4</x:v>
      </x:c>
      <x:c r="B9" s="37" t="n">
        <x:v>46226.666666666664</x:v>
      </x:c>
      <x:c r="C9" s="23" t="str">
        <x:v>Week 1 — Open the field lab</x:v>
      </x:c>
      <x:c r="D9" s="25" t="str">
        <x:v>Product proof</x:v>
      </x:c>
      <x:c r="E9" s="23" t="str">
        <x:v>Show how curiosity becomes a path through the guide map.</x:v>
      </x:c>
      <x:c r="F9" s="23" t="str">
        <x:v>YouTube</x:v>
      </x:c>
      <x:c r="G9" s="23" t="str">
        <x:v>Two-minute screen walkthrough</x:v>
      </x:c>
      <x:c r="H9" s="39" t="str">
        <x:v>Your curiosity sets the syllabus.</x:v>
      </x:c>
      <x:c r="I9" s="23" t="str">
        <x:v>Start with one published guide. Follow its published prerequisites back to the foundations. When you complete every direct published prerequisite for another guide, the map marks that guide ready. Your curiosity still chooses the route.</x:v>
      </x:c>
      <x:c r="J9" s="23" t="str">
        <x:v>Record one real route through the public guide map. Show prerequisite labels and the next unlocked guide without exposing member data.</x:v>
      </x:c>
      <x:c r="K9" s="23" t="str">
        <x:v>Open one published guide from the map.</x:v>
      </x:c>
      <x:c r="L9" s="23" t="str">
        <x:v>components/landing/HowItWorksSection.tsx; app/home/guides/map/page.tsx; lib/guides-db.ts</x:v>
      </x:c>
      <x:c r="M9" s="23" t="str">
        <x:v>Say 'each published topic has one canonical guide.' Do not claim every topic is verified or reviewed by PhD students.</x:v>
      </x:c>
      <x:c r="N9" s="23" t="str">
        <x:v>Cut the path reveal into a 25-second vertical clip and a three-card map carousel.</x:v>
      </x:c>
      <x:c r="O9" s="23" t="str">
        <x:v>Published-guide opens from the post</x:v>
      </x:c>
      <x:c r="P9" s="41" t="str">
        <x:v>Planned</x:v>
      </x:c>
      <x:c r="Q9" s="41" t="str"/>
      <x:c r="R9" s="41" t="str"/>
      <x:c r="S9" s="41" t="str"/>
    </x:row>
    <x:row r="10" ht="88" customHeight="1">
      <x:c r="A10" s="33" t="n">
        <x:v>5</x:v>
      </x:c>
      <x:c r="B10" s="37" t="n">
        <x:v>46227.666666666664</x:v>
      </x:c>
      <x:c r="C10" s="23" t="str">
        <x:v>Week 1 — Open the field lab</x:v>
      </x:c>
      <x:c r="D10" s="25" t="str">
        <x:v>Academic</x:v>
      </x:c>
      <x:c r="E10" s="23" t="str">
        <x:v>Teach one media-literacy principle with a primary source.</x:v>
      </x:c>
      <x:c r="F10" s="23" t="str">
        <x:v>Instagram carousel, Reddit</x:v>
      </x:c>
      <x:c r="G10" s="23" t="str">
        <x:v>Source card and interface examples</x:v>
      </x:c>
      <x:c r="H10" s="39" t="str">
        <x:v>A countdown means something only when a real condition ends.</x:v>
      </x:c>
      <x:c r="I10" s="23" t="str">
        <x:v>False low-stock messages, baseless demand claims, and resetting countdowns are pressure patterns. A legitimate deadline names the event, capacity, or review window that actually closes. Inspect the next urgent screen you see: what changes when the clock reaches zero?</x:v>
      </x:c>
      <x:c r="J10" s="23" t="str">
        <x:v>Show three generic interface patterns drawn from the FTC taxonomy. Use diagrams rather than copying a brand's live ad.</x:v>
      </x:c>
      <x:c r="K10" s="23" t="str">
        <x:v>Inspect one urgent message today and write down what changes when its clock reaches zero.</x:v>
      </x:c>
      <x:c r="L10" s="23" t="str">
        <x:v>FTC, Bringing Dark Patterns to Light (2022), pp. 20–22; research/content-calendar/source-files/ftc-bringing-dark-patterns-to-light-2022.pdf</x:v>
      </x:c>
      <x:c r="M10" s="23" t="str">
        <x:v>Describe U.S. FTC staff guidance accurately. Avoid giving legal advice or accusing a named company without case-specific evidence.</x:v>
      </x:c>
      <x:c r="N10" s="23" t="str">
        <x:v>Post the inspection question natively in one media-literacy community after reviewing its rules.</x:v>
      </x:c>
      <x:c r="O10" s="23" t="str">
        <x:v>Substantive inspection examples submitted</x:v>
      </x:c>
      <x:c r="P10" s="41" t="str">
        <x:v>Planned</x:v>
      </x:c>
      <x:c r="Q10" s="41" t="str"/>
      <x:c r="R10" s="41" t="str"/>
      <x:c r="S10" s="41" t="str"/>
    </x:row>
    <x:row r="11" ht="88" customHeight="1">
      <x:c r="A11" s="33" t="n">
        <x:v>6</x:v>
      </x:c>
      <x:c r="B11" s="37" t="n">
        <x:v>46228.666666666664</x:v>
      </x:c>
      <x:c r="C11" s="23" t="str">
        <x:v>Week 1 — Open the field lab</x:v>
      </x:c>
      <x:c r="D11" s="25" t="str">
        <x:v>Participant</x:v>
      </x:c>
      <x:c r="E11" s="23" t="str">
        <x:v>Make field notes tangible through a founder-owned example.</x:v>
      </x:c>
      <x:c r="F11" s="23" t="str">
        <x:v>Instagram Reels, YouTube Shorts</x:v>
      </x:c>
      <x:c r="G11" s="23" t="str">
        <x:v>Founder field-note reveal</x:v>
      </x:c>
      <x:c r="H11" s="39" t="str">
        <x:v>A field note begins where the polished answer stops.</x:v>
      </x:c>
      <x:c r="I11" s="23" t="str">
        <x:v>Here is one founder field note from this week's research. Continuous audio can create a recurring station inside the Academy. Searchable clips may give new viewers a clearer entry point, so the next test turns one broadcast chapter into a clip with a direct route to the feature it explains.</x:v>
      </x:c>
      <x:c r="J11" s="23" t="str">
        <x:v>Show James's own note, then the clip storyboard it produced. Remove private details before capture.</x:v>
      </x:c>
      <x:c r="K11" s="23" t="str">
        <x:v>Write one observation, one interpretation, and one next action.</x:v>
      </x:c>
      <x:c r="L11" s="23" t="str">
        <x:v>research/content-calendar/07-young-adult-media.md; founder-owned artifact</x:v>
      </x:c>
      <x:c r="M11" s="23" t="str">
        <x:v>Hold until the dated founder field note and the clip test it proposes are stored. Use only James's own writing unless another participant gives explicit permission.</x:v>
      </x:c>
      <x:c r="N11" s="23" t="str">
        <x:v>Publish the note as a text post on the founder account.</x:v>
      </x:c>
      <x:c r="O11" s="23" t="str">
        <x:v>Field-note starts and completion replies</x:v>
      </x:c>
      <x:c r="P11" s="41" t="str">
        <x:v>Planned</x:v>
      </x:c>
      <x:c r="Q11" s="41" t="str"/>
      <x:c r="R11" s="41" t="str"/>
      <x:c r="S11" s="41" t="str"/>
    </x:row>
    <x:row r="12" ht="88" customHeight="1">
      <x:c r="A12" s="33" t="n">
        <x:v>7</x:v>
      </x:c>
      <x:c r="B12" s="37" t="n">
        <x:v>46229.666666666664</x:v>
      </x:c>
      <x:c r="C12" s="23" t="str">
        <x:v>Week 1 — Open the field lab</x:v>
      </x:c>
      <x:c r="D12" s="25" t="str">
        <x:v>Build note</x:v>
      </x:c>
      <x:c r="E12" s="23" t="str">
        <x:v>Turn fact-checking into visible trust.</x:v>
      </x:c>
      <x:c r="F12" s="23" t="str">
        <x:v>Founder account, YouTube Shorts</x:v>
      </x:c>
      <x:c r="G12" s="23" t="str">
        <x:v>Correction log</x:v>
      </x:c>
      <x:c r="H12" s="39" t="str">
        <x:v>We cut a claim because the evidence did not support it.</x:v>
      </x:c>
      <x:c r="I12" s="23" t="str">
        <x:v>The landing page described U.S. literacy as a grade level. The national source measures proficiency levels instead. The corrected fact is narrower: in 2017, 19% of assessed U.S. adults ages 16–65 performed at Level 1 or below in English literacy. A smaller claim with a named measure is more useful.</x:v>
      </x:c>
      <x:c r="J12" s="23" t="str">
        <x:v>Show the crossed-out sentence, the NCES table, and the corrected source card with population and year.</x:v>
      </x:c>
      <x:c r="K12" s="23" t="str">
        <x:v>Open the source and check the measure before sharing the statistic.</x:v>
      </x:c>
      <x:c r="L12" s="23" t="str">
        <x:v>NCES PIAAC 2017 national results; research/content-calendar/source-files/nces-adult-literacy-united-states-2022-004.pdf</x:v>
      </x:c>
      <x:c r="M12" s="23" t="str">
        <x:v>Do not imply the 19% figure is a sixth-grade reading level or a 2026 estimate.</x:v>
      </x:c>
      <x:c r="N12" s="23" t="str">
        <x:v>Add the correction to a permanent Research Receipts playlist.</x:v>
      </x:c>
      <x:c r="O12" s="23" t="str">
        <x:v>Source clicks and saves</x:v>
      </x:c>
      <x:c r="P12" s="41" t="str">
        <x:v>Planned</x:v>
      </x:c>
      <x:c r="Q12" s="41" t="str"/>
      <x:c r="R12" s="41" t="str"/>
      <x:c r="S12" s="41" t="str"/>
    </x:row>
    <x:row r="13" ht="88" customHeight="1">
      <x:c r="A13" s="33" t="n">
        <x:v>8</x:v>
      </x:c>
      <x:c r="B13" s="37" t="n">
        <x:v>46230.666666666664</x:v>
      </x:c>
      <x:c r="C13" s="23" t="str">
        <x:v>Week 2 — Blue teaches the Academy</x:v>
      </x:c>
      <x:c r="D13" s="25" t="str">
        <x:v>Product proof</x:v>
      </x:c>
      <x:c r="E13" s="23" t="str">
        <x:v>Demonstrate the synchronized-station mechanic.</x:v>
      </x:c>
      <x:c r="F13" s="23" t="str">
        <x:v>TikTok, Instagram Reels, YouTube Shorts</x:v>
      </x:c>
      <x:c r="G13" s="23" t="str">
        <x:v>Two-device demonstration</x:v>
      </x:c>
      <x:c r="H13" s="39" t="str">
        <x:v>Open Blue Radio on two devices. The same chapter is already playing.</x:v>
      </x:c>
      <x:c r="I13" s="23" t="str">
        <x:v>The program follows the clock. Listeners who tune in at roughly the same moment arrive at the same point in the loop. It is a small shared-time ritual inside an otherwise self-paced Academy.</x:v>
      </x:c>
      <x:c r="J13" s="23" t="str">
        <x:v>Place two devices side by side with visible chapter titles and clocks. Record in one take.</x:v>
      </x:c>
      <x:c r="K13" s="23" t="str">
        <x:v>Tune in and post the chapter title you found.</x:v>
      </x:c>
      <x:c r="L13" s="23" t="str">
        <x:v>components/blue-scene/BlueRadio.tsx:25–37, 85–106</x:v>
      </x:c>
      <x:c r="M13" s="23" t="str">
        <x:v>Say roughly the same moment. Network and playback conditions can create small differences.</x:v>
      </x:c>
      <x:c r="N13" s="23" t="str">
        <x:v>Turn the replies into a same-chapter collage without displaying private account information.</x:v>
      </x:c>
      <x:c r="O13" s="23" t="str">
        <x:v>Tune-ins and chapter-title replies</x:v>
      </x:c>
      <x:c r="P13" s="41" t="str">
        <x:v>Planned</x:v>
      </x:c>
      <x:c r="Q13" s="41" t="str"/>
      <x:c r="R13" s="41" t="str"/>
      <x:c r="S13" s="41" t="str"/>
    </x:row>
    <x:row r="14" ht="88" customHeight="1">
      <x:c r="A14" s="33" t="n">
        <x:v>9</x:v>
      </x:c>
      <x:c r="B14" s="37" t="n">
        <x:v>46231.666666666664</x:v>
      </x:c>
      <x:c r="C14" s="23" t="str">
        <x:v>Week 2 — Blue teaches the Academy</x:v>
      </x:c>
      <x:c r="D14" s="25" t="str">
        <x:v>Academic</x:v>
      </x:c>
      <x:c r="E14" s="23" t="str">
        <x:v>Explain why the campaign uses creator-led video without flattening young adults into a stereotype.</x:v>
      </x:c>
      <x:c r="F14" s="23" t="str">
        <x:v>Instagram carousel, YouTube Community</x:v>
      </x:c>
      <x:c r="G14" s="23" t="str">
        <x:v>Audience evidence card</x:v>
      </x:c>
      <x:c r="H14" s="39" t="str">
        <x:v>Reach maps distribution. Completed actions show learning value.</x:v>
      </x:c>
      <x:c r="I14" s="23" t="str">
        <x:v>Pew found that 95% of U.S. adults ages 18–29 use YouTube, 80% use Instagram, and 63% use TikTok. These 2025 figures measure self-reported platform use. We will compare the channels by meaningful actions completed inside the Academy.</x:v>
      </x:c>
      <x:c r="J14" s="23" t="str">
        <x:v>Chart the three percentages with a visible label: U.S. adults 18–29, self-reported ever use, 2025.</x:v>
      </x:c>
      <x:c r="K14" s="23" t="str">
        <x:v>Choose where you want the next full explanation: YouTube, Instagram, or TikTok.</x:v>
      </x:c>
      <x:c r="L14" s="23" t="str">
        <x:v>Pew Research Center, Social Media Fact Sheet and Americans' Social Media Use 2025</x:v>
      </x:c>
      <x:c r="M14" s="23" t="str">
        <x:v>Do not relabel ages 18–29 as ages 18–25. Include the survey year and 'ever use' definition.</x:v>
      </x:c>
      <x:c r="N14" s="23" t="str">
        <x:v>Use the result to choose where the Day 13 explainer premieres.</x:v>
      </x:c>
      <x:c r="O14" s="23" t="str">
        <x:v>Qualified votes and subsequent action rate by channel</x:v>
      </x:c>
      <x:c r="P14" s="41" t="str">
        <x:v>Planned</x:v>
      </x:c>
      <x:c r="Q14" s="41" t="str"/>
      <x:c r="R14" s="41" t="str"/>
      <x:c r="S14" s="41" t="str"/>
    </x:row>
    <x:row r="15" ht="88" customHeight="1">
      <x:c r="A15" s="33" t="n">
        <x:v>10</x:v>
      </x:c>
      <x:c r="B15" s="37" t="n">
        <x:v>46232.666666666664</x:v>
      </x:c>
      <x:c r="C15" s="23" t="str">
        <x:v>Week 2 — Blue teaches the Academy</x:v>
      </x:c>
      <x:c r="D15" s="25" t="str">
        <x:v>Product proof</x:v>
      </x:c>
      <x:c r="E15" s="23" t="str">
        <x:v>Teach a complete field-note action.</x:v>
      </x:c>
      <x:c r="F15" s="23" t="str">
        <x:v>YouTube, Instagram Reels</x:v>
      </x:c>
      <x:c r="G15" s="23" t="str">
        <x:v>Screen tutorial with a real prompt</x:v>
      </x:c>
      <x:c r="H15" s="39" t="str">
        <x:v>Give the blank page three handles: fact, feeling, meaning.</x:v>
      </x:c>
      <x:c r="I15" s="23" t="str">
        <x:v>Write what happened without interpretation. Name the feeling with the most precise word you have. End with what you made the event mean. The three lines separate observation from interpretation so you can inspect the difference.</x:v>
      </x:c>
      <x:c r="J15" s="23" t="str">
        <x:v>Type a safe example into the actual field-note surface. Keep the entry fictional and label it as a demonstration.</x:v>
      </x:c>
      <x:c r="K15" s="23" t="str">
        <x:v>Open Field Notes and write three lines.</x:v>
      </x:c>
      <x:c r="L15" s="23" t="str">
        <x:v>components/daily-notes/DailyNotes.tsx; content/guide-drafts/deepen-2026-07/thin-guide-rewrites.json</x:v>
      </x:c>
      <x:c r="M15" s="23" t="str">
        <x:v>Describe a reflection practice, not treatment. Add care-routing language when the topic involves trauma or crisis.</x:v>
      </x:c>
      <x:c r="N15" s="23" t="str">
        <x:v>Publish the three-line template as a saveable Story and Discord prompt.</x:v>
      </x:c>
      <x:c r="O15" s="23" t="str">
        <x:v>Field-note opens and completed entries</x:v>
      </x:c>
      <x:c r="P15" s="41" t="str">
        <x:v>Planned</x:v>
      </x:c>
      <x:c r="Q15" s="41" t="str"/>
      <x:c r="R15" s="41" t="str"/>
      <x:c r="S15" s="41" t="str"/>
    </x:row>
    <x:row r="16" ht="88" customHeight="1">
      <x:c r="A16" s="33" t="n">
        <x:v>11</x:v>
      </x:c>
      <x:c r="B16" s="37" t="n">
        <x:v>46233.666666666664</x:v>
      </x:c>
      <x:c r="C16" s="23" t="str">
        <x:v>Week 2 — Blue teaches the Academy</x:v>
      </x:c>
      <x:c r="D16" s="25" t="str">
        <x:v>Product proof</x:v>
      </x:c>
      <x:c r="E16" s="23" t="str">
        <x:v>Show the implemented progress-based guide recommendation.</x:v>
      </x:c>
      <x:c r="F16" s="23" t="str">
        <x:v>YouTube Shorts, TikTok</x:v>
      </x:c>
      <x:c r="G16" s="23" t="str">
        <x:v>Before-and-after product demo</x:v>
      </x:c>
      <x:c r="H16" s="39" t="str">
        <x:v>Finish one guide. Blue can show what the completion unlocked.</x:v>
      </x:c>
      <x:c r="I16" s="23" t="str">
        <x:v>The guide map records completed guides and exposes the next published frontier. Blue can show up to three next unlocked guides from that progress. The reason stays visible, so the suggestion has an inspectable path.</x:v>
      </x:c>
      <x:c r="J16" s="23" t="str">
        <x:v>Use a test account. Show the completed guide, the unlocked frontier, and the dashboard recommendation card with its completion-derived reason. Keep personal notes off screen.</x:v>
      </x:c>
      <x:c r="K16" s="23" t="str">
        <x:v>Complete one published guide and inspect your next unlocked options.</x:v>
      </x:c>
      <x:c r="L16" s="23" t="str">
        <x:v>app/api/guides/recommend/route.ts; components/blue-chat/GuideCardsInline.tsx; research/content-calendar/04-first-wave-fact-check.md</x:v>
      </x:c>
      <x:c r="M16" s="23" t="str">
        <x:v>Do not claim Blue reads field-note meaning to generate a personalized curriculum. The current recommendation uses recorded guide completions.</x:v>
      </x:c>
      <x:c r="N16" s="23" t="str">
        <x:v>Create a three-card carousel: completed, unlocked, why.</x:v>
      </x:c>
      <x:c r="O16" s="23" t="str">
        <x:v>Guide completions and recommendation opens</x:v>
      </x:c>
      <x:c r="P16" s="41" t="str">
        <x:v>Planned</x:v>
      </x:c>
      <x:c r="Q16" s="41" t="str"/>
      <x:c r="R16" s="41" t="str"/>
      <x:c r="S16" s="41" t="str"/>
    </x:row>
    <x:row r="17" ht="88" customHeight="1">
      <x:c r="A17" s="33" t="n">
        <x:v>12</x:v>
      </x:c>
      <x:c r="B17" s="37" t="n">
        <x:v>46234.666666666664</x:v>
      </x:c>
      <x:c r="C17" s="23" t="str">
        <x:v>Week 2 — Blue teaches the Academy</x:v>
      </x:c>
      <x:c r="D17" s="25" t="str">
        <x:v>Participant</x:v>
      </x:c>
      <x:c r="E17" s="23" t="str">
        <x:v>Show a contribution improving a guide.</x:v>
      </x:c>
      <x:c r="F17" s="23" t="str">
        <x:v>Instagram carousel, Discord</x:v>
      </x:c>
      <x:c r="G17" s="23" t="str">
        <x:v>Annotated revision</x:v>
      </x:c>
      <x:c r="H17" s="39" t="str">
        <x:v>One good question can improve the path for the next learner.</x:v>
      </x:c>
      <x:c r="I17" s="23" t="str">
        <x:v>A reader found a step that assumed too much prior knowledge. The guide now defines the missing term and adds a concrete example. The contribution matters because someone else can follow the path with less guesswork.</x:v>
      </x:c>
      <x:c r="J17" s="23" t="str">
        <x:v>Show a real before-and-after diff with the contributor's permission, or use the founder's own revision if no permission exists.</x:v>
      </x:c>
      <x:c r="K17" s="23" t="str">
        <x:v>Open a guide and submit one precise question about a confusing step.</x:v>
      </x:c>
      <x:c r="L17" s="23" t="str">
        <x:v>A real dated guide revision and consent record required before publication</x:v>
      </x:c>
      <x:c r="M17" s="23" t="str">
        <x:v>Hold until the dated revision, attribution preference, and permission are documented. If using a founder-owned revision, rewrite the caption in first person and identify it as founder work.</x:v>
      </x:c>
      <x:c r="N17" s="23" t="str">
        <x:v>Add the revision to a monthly changelog.</x:v>
      </x:c>
      <x:c r="O17" s="23" t="str">
        <x:v>Useful guide questions and approved revisions</x:v>
      </x:c>
      <x:c r="P17" s="41" t="str">
        <x:v>Planned</x:v>
      </x:c>
      <x:c r="Q17" s="41" t="str"/>
      <x:c r="R17" s="41" t="str"/>
      <x:c r="S17" s="41" t="str"/>
    </x:row>
    <x:row r="18" ht="88" customHeight="1">
      <x:c r="A18" s="33" t="n">
        <x:v>13</x:v>
      </x:c>
      <x:c r="B18" s="37" t="n">
        <x:v>46235.666666666664</x:v>
      </x:c>
      <x:c r="C18" s="23" t="str">
        <x:v>Week 2 — Blue teaches the Academy</x:v>
      </x:c>
      <x:c r="D18" s="25" t="str">
        <x:v>Academic</x:v>
      </x:c>
      <x:c r="E18" s="23" t="str">
        <x:v>Explain the layered role of video and text.</x:v>
      </x:c>
      <x:c r="F18" s="23" t="str">
        <x:v>YouTube</x:v>
      </x:c>
      <x:c r="G18" s="23" t="str">
        <x:v>Three-minute research explainer</x:v>
      </x:c>
      <x:c r="H18" s="39" t="str">
        <x:v>Use video for the map. Keep text for the exact turn.</x:v>
      </x:c>
      <x:c r="I18" s="23" t="str">
        <x:v>A small experiment with 42 software-engineering students found video faster to apply and text faster to consume; participants preferred video for new material and text for lookup. The sample is narrow. The design lesson is worth testing: Blue Radio for orientation, transcripts and guides for precise reference.</x:v>
      </x:c>
      <x:c r="J18" s="23" t="str">
        <x:v>Split screen between a Blue Radio chapter and the exact guidebook section it points toward.</x:v>
      </x:c>
      <x:c r="K18" s="23" t="str">
        <x:v>Tell us which moment you would rather watch and which one you would rather scan.</x:v>
      </x:c>
      <x:c r="L18" s="23" t="str">
        <x:v>Käfer, Kulesz, and Wagner (2017), DOI 10.22152/programming-journal.org/2017/1/17</x:v>
      </x:c>
      <x:c r="M18" s="23" t="str">
        <x:v>State the sample size and software-learning context. Present the layered interface as a test, not a universal rule.</x:v>
      </x:c>
      <x:c r="N18" s="23" t="str">
        <x:v>Cut the central comparison into a 30-second Short and an Instagram poll.</x:v>
      </x:c>
      <x:c r="O18" s="23" t="str">
        <x:v>Watch time, saves, and format-preference responses</x:v>
      </x:c>
      <x:c r="P18" s="41" t="str">
        <x:v>Planned</x:v>
      </x:c>
      <x:c r="Q18" s="41" t="str"/>
      <x:c r="R18" s="41" t="str"/>
      <x:c r="S18" s="41" t="str"/>
    </x:row>
    <x:row r="19" ht="88" customHeight="1">
      <x:c r="A19" s="33" t="n">
        <x:v>14</x:v>
      </x:c>
      <x:c r="B19" s="37" t="n">
        <x:v>46236.666666666664</x:v>
      </x:c>
      <x:c r="C19" s="23" t="str">
        <x:v>Week 2 — Blue teaches the Academy</x:v>
      </x:c>
      <x:c r="D19" s="25" t="str">
        <x:v>Product proof</x:v>
      </x:c>
      <x:c r="E19" s="23" t="str">
        <x:v>Demonstrate one complete mission route.</x:v>
      </x:c>
      <x:c r="F19" s="23" t="str">
        <x:v>YouTube, Instagram Reels</x:v>
      </x:c>
      <x:c r="G19" s="23" t="str">
        <x:v>End-to-end mission walkthrough</x:v>
      </x:c>
      <x:c r="H19" s="39" t="str">
        <x:v>Start with one mission.</x:v>
      </x:c>
      <x:c r="I19" s="23" t="str">
        <x:v>Open one current quest. Read the task, eligibility rules, reward conditions, and review requirements. Do the work and submit the evidence the quest asks for. One complete route teaches more than a feature list.</x:v>
      </x:c>
      <x:c r="J19" s="23" t="str">
        <x:v>Use a current low-risk mission or a clearly labeled demo mission. Show the criteria before the submission action.</x:v>
      </x:c>
      <x:c r="K19" s="23" t="str">
        <x:v>Choose one open mission with a completion state you understand.</x:v>
      </x:c>
      <x:c r="L19" s="23" t="str">
        <x:v>components/landing/FinalCtaSection.tsx; app/quests/page.tsx; components/quest-drawer/QuestDrawer.tsx</x:v>
      </x:c>
      <x:c r="M19" s="23" t="str">
        <x:v>Hold until the demonstrated production mission is confirmed open with unchanged completion criteria. If none is available, use a clearly labeled demo mission and remove any reward amount.</x:v>
      </x:c>
      <x:c r="N19" s="23" t="str">
        <x:v>Turn each step into one Story card and one Discord checklist.</x:v>
      </x:c>
      <x:c r="O19" s="23" t="str">
        <x:v>Mission starts and eligible submissions</x:v>
      </x:c>
      <x:c r="P19" s="41" t="str">
        <x:v>Planned</x:v>
      </x:c>
      <x:c r="Q19" s="41" t="str"/>
      <x:c r="R19" s="41" t="str"/>
      <x:c r="S19" s="41" t="str"/>
    </x:row>
    <x:row r="20" ht="88" customHeight="1">
      <x:c r="A20" s="33" t="n">
        <x:v>15</x:v>
      </x:c>
      <x:c r="B20" s="37" t="n">
        <x:v>46237.666666666664</x:v>
      </x:c>
      <x:c r="C20" s="23" t="str">
        <x:v>Week 3 — Show the learning loop</x:v>
      </x:c>
      <x:c r="D20" s="25" t="str">
        <x:v>Community ritual</x:v>
      </x:c>
      <x:c r="E20" s="23" t="str">
        <x:v>Publish the midpoint field check and choose the next question from real response.</x:v>
      </x:c>
      <x:c r="F20" s="23" t="str">
        <x:v>YouTube Live or prerecorded update, Instagram carousel</x:v>
      </x:c>
      <x:c r="G20" s="23" t="str">
        <x:v>Prerecorded midpoint research receipt</x:v>
      </x:c>
      <x:c r="H20" s="39" t="str">
        <x:v>Fifteen days in, here is what the field lab actually changed.</x:v>
      </x:c>
      <x:c r="I20" s="23" t="str">
        <x:v>Report the questions received, qualified visits, first meaningful actions, and one product or content change. Name the measurement window and denominator. If the sample is too small, publish the method and the questions instead of dressing noise as a result.</x:v>
      </x:c>
      <x:c r="J20" s="23" t="str">
        <x:v>Four metric cards fed by verified analytics, followed by one screen recording of the change shipped.</x:v>
      </x:c>
      <x:c r="K20" s="23" t="str">
        <x:v>Choose the question the final two weeks should investigate.</x:v>
      </x:c>
      <x:c r="L20" s="23" t="str">
        <x:v>First-party analytics and question ledger as of 2026-08-03</x:v>
      </x:c>
      <x:c r="M20" s="23" t="str">
        <x:v>Hold until every displayed number has a source, window, unit, definition, and denominator, and one claimed change is deployed. Suppress small groups when reporting could expose a participant.</x:v>
      </x:c>
      <x:c r="N20" s="23" t="str">
        <x:v>Publish the full method on the founder account and the winning question in Discord.</x:v>
      </x:c>
      <x:c r="O20" s="23" t="str">
        <x:v>Qualified votes and week-three activation rate</x:v>
      </x:c>
      <x:c r="P20" s="41" t="str">
        <x:v>Planned</x:v>
      </x:c>
      <x:c r="Q20" s="41" t="str"/>
      <x:c r="R20" s="41" t="str"/>
      <x:c r="S20" s="41" t="str"/>
    </x:row>
    <x:row r="21" ht="88" customHeight="1">
      <x:c r="A21" s="33" t="n">
        <x:v>16</x:v>
      </x:c>
      <x:c r="B21" s="37" t="n">
        <x:v>46238.666666666664</x:v>
      </x:c>
      <x:c r="C21" s="23" t="str">
        <x:v>Week 3 — Show the learning loop</x:v>
      </x:c>
      <x:c r="D21" s="25" t="str">
        <x:v>Product proof</x:v>
      </x:c>
      <x:c r="E21" s="23" t="str">
        <x:v>Make quest review and reward conditions legible.</x:v>
      </x:c>
      <x:c r="F21" s="23" t="str">
        <x:v>YouTube Shorts, Instagram carousel</x:v>
      </x:c>
      <x:c r="G21" s="23" t="str">
        <x:v>Submission-to-review flow</x:v>
      </x:c>
      <x:c r="H21" s="39" t="str">
        <x:v>A reward begins with a visible standard.</x:v>
      </x:c>
      <x:c r="I21" s="23" t="str">
        <x:v>Some funded quests offer a cash bounty after an eligible submission passes review. The useful part is the rubric: what counts, who reviews it, and what happens when the evidence needs revision. Show the standard before the reward.</x:v>
      </x:c>
      <x:c r="J21" s="23" t="str">
        <x:v>Map the review states visible to a participant in one current funded quest. Blur names and payment details.</x:v>
      </x:c>
      <x:c r="K21" s="23" t="str">
        <x:v>Read one quest's completion and eligibility rules before starting.</x:v>
      </x:c>
      <x:c r="L21" s="23" t="str">
        <x:v>Current creator-review/admin-review routes; research/content-calendar/04-first-wave-fact-check.md</x:v>
      </x:c>
      <x:c r="M21" s="23" t="str">
        <x:v>Hold until a funded production quest is open and its participant-visible rules match the post. Do not promise approval, payout timing, or universal cash rewards.</x:v>
      </x:c>
      <x:c r="N21" s="23" t="str">
        <x:v>Create a reusable quest-rubric template for future launches.</x:v>
      </x:c>
      <x:c r="O21" s="23" t="str">
        <x:v>Eligible submission rate and revision rate</x:v>
      </x:c>
      <x:c r="P21" s="41" t="str">
        <x:v>Planned</x:v>
      </x:c>
      <x:c r="Q21" s="41" t="str"/>
      <x:c r="R21" s="41" t="str"/>
      <x:c r="S21" s="41" t="str"/>
    </x:row>
    <x:row r="22" ht="88" customHeight="1">
      <x:c r="A22" s="33" t="n">
        <x:v>17</x:v>
      </x:c>
      <x:c r="B22" s="37" t="n">
        <x:v>46239.666666666664</x:v>
      </x:c>
      <x:c r="C22" s="23" t="str">
        <x:v>Week 3 — Show the learning loop</x:v>
      </x:c>
      <x:c r="D22" s="25" t="str">
        <x:v>Academic</x:v>
      </x:c>
      <x:c r="E22" s="23" t="str">
        <x:v>Translate current media research into a useful viewing strategy.</x:v>
      </x:c>
      <x:c r="F22" s="23" t="str">
        <x:v>YouTube, Instagram carousel</x:v>
      </x:c>
      <x:c r="G22" s="23" t="str">
        <x:v>Research receipt</x:v>
      </x:c>
      <x:c r="H22" s="39" t="str">
        <x:v>Streaming is a category. Discovery still needs a doorway.</x:v>
      </x:c>
      <x:c r="I22" s="23" t="str">
        <x:v>Deloitte's 2025 U.S. survey found 56% of its Gen Z respondents considered social-media content more relevant than television and movies. The cohort definition included minors and adults older than 25. Our test is narrower: short creator-led clips open the question, and a searchable lesson completes it.</x:v>
      </x:c>
      <x:c r="J22" s="23" t="str">
        <x:v>Show the finding, cohort definition, sample, and MWA's clip-to-lesson route on one diagram.</x:v>
      </x:c>
      <x:c r="K22" s="23" t="str">
        <x:v>Watch the short question, then open the full explanation linked beside it.</x:v>
      </x:c>
      <x:c r="L22" s="23" t="str">
        <x:v>Deloitte, 2025 Digital Media Trends; research/content-calendar/07-young-adult-media.md</x:v>
      </x:c>
      <x:c r="M22" s="23" t="str">
        <x:v>Do not present the Gen Z result as an ages 18–25 estimate or proof that every young adult prefers short video.</x:v>
      </x:c>
      <x:c r="N22" s="23" t="str">
        <x:v>Use the full explanation as the source for three concept-first Shorts.</x:v>
      </x:c>
      <x:c r="O22" s="23" t="str">
        <x:v>Short-to-long-form continuation and product click rate</x:v>
      </x:c>
      <x:c r="P22" s="41" t="str">
        <x:v>Planned</x:v>
      </x:c>
      <x:c r="Q22" s="41" t="str"/>
      <x:c r="R22" s="41" t="str"/>
      <x:c r="S22" s="41" t="str"/>
    </x:row>
    <x:row r="23" ht="88" customHeight="1">
      <x:c r="A23" s="33" t="n">
        <x:v>18</x:v>
      </x:c>
      <x:c r="B23" s="37" t="n">
        <x:v>46240.666666666664</x:v>
      </x:c>
      <x:c r="C23" s="23" t="str">
        <x:v>Week 3 — Show the learning loop</x:v>
      </x:c>
      <x:c r="D23" s="25" t="str">
        <x:v>Participant</x:v>
      </x:c>
      <x:c r="E23" s="23" t="str">
        <x:v>Show Blue reducing choice through implemented guide progress.</x:v>
      </x:c>
      <x:c r="F23" s="23" t="str">
        <x:v>YouTube Shorts, Instagram Reels</x:v>
      </x:c>
      <x:c r="G23" s="23" t="str">
        <x:v>Consented learner route</x:v>
      </x:c>
      <x:c r="H23" s="39" t="str">
        <x:v>A completed guide can turn 'where next?' into three visible options.</x:v>
      </x:c>
      <x:c r="I23" s="23" t="str">
        <x:v>This member completed a published guide. Blue showed the next unlocked frontier and the completion that opened it. The learner still chooses the direction; the map makes the reason inspectable.</x:v>
      </x:c>
      <x:c r="J23" s="23" t="str">
        <x:v>Use a consenting test participant or the founder account. Show only guide titles and completion state.</x:v>
      </x:c>
      <x:c r="K23" s="23" t="str">
        <x:v>Finish one guide and inspect the next unlocked options.</x:v>
      </x:c>
      <x:c r="L23" s="23" t="str">
        <x:v>Recorded guide completion and Blue recommendation; participant consent required</x:v>
      </x:c>
      <x:c r="M23" s="23" t="str">
        <x:v>Hold until a real completion and resulting recommendation are recorded. Use a founder account in first person or store participant consent. Do not expose field notes, identity, or inferred mental state.</x:v>
      </x:c>
      <x:c r="N23" s="23" t="str">
        <x:v>Turn the three options into a community vote.</x:v>
      </x:c>
      <x:c r="O23" s="23" t="str">
        <x:v>Recommendation opens and next-guide starts</x:v>
      </x:c>
      <x:c r="P23" s="41" t="str">
        <x:v>Planned</x:v>
      </x:c>
      <x:c r="Q23" s="41" t="str"/>
      <x:c r="R23" s="41" t="str"/>
      <x:c r="S23" s="41" t="str"/>
    </x:row>
    <x:row r="24" ht="88" customHeight="1">
      <x:c r="A24" s="33" t="n">
        <x:v>19</x:v>
      </x:c>
      <x:c r="B24" s="37" t="n">
        <x:v>46241.666666666664</x:v>
      </x:c>
      <x:c r="C24" s="23" t="str">
        <x:v>Week 3 — Show the learning loop</x:v>
      </x:c>
      <x:c r="D24" s="25" t="str">
        <x:v>Product proof</x:v>
      </x:c>
      <x:c r="E24" s="23" t="str">
        <x:v>Show multiple entry formats around one educational objective.</x:v>
      </x:c>
      <x:c r="F24" s="23" t="str">
        <x:v>Instagram carousel, YouTube</x:v>
      </x:c>
      <x:c r="G24" s="23" t="str">
        <x:v>Listen, read, do, ask comparison</x:v>
      </x:c>
      <x:c r="H24" s="39" t="str">
        <x:v>Choose your way into one question.</x:v>
      </x:c>
      <x:c r="I24" s="23" t="str">
        <x:v>Listen to Blue's overview. Read the canonical guide. Complete the mission. Ask Blue to show the next unlocked route. Each format serves the same question at a different depth.</x:v>
      </x:c>
      <x:c r="J24" s="23" t="str">
        <x:v>Four panels using one real topic and four real product surfaces. Link each panel directly.</x:v>
      </x:c>
      <x:c r="K24" s="23" t="str">
        <x:v>Choose listen, read, do, or ask, then complete the smallest useful action.</x:v>
      </x:c>
      <x:c r="L24" s="23" t="str">
        <x:v>Blue Radio, published guide map, current mission, and Blue guide-card implementation</x:v>
      </x:c>
      <x:c r="M24" s="23" t="str">
        <x:v>Hold unless one production topic has a working Blue Radio chapter, published guide, current mission, and Blue guide-card route on publication day. If one route is missing, remove that panel.</x:v>
      </x:c>
      <x:c r="N24" s="23" t="str">
        <x:v>Create four separate Shorts from the same recording session.</x:v>
      </x:c>
      <x:c r="O24" s="23" t="str">
        <x:v>Action rate by format</x:v>
      </x:c>
      <x:c r="P24" s="41" t="str">
        <x:v>Planned</x:v>
      </x:c>
      <x:c r="Q24" s="41" t="str"/>
      <x:c r="R24" s="41" t="str"/>
      <x:c r="S24" s="41" t="str"/>
    </x:row>
    <x:row r="25" ht="88" customHeight="1">
      <x:c r="A25" s="33" t="n">
        <x:v>20</x:v>
      </x:c>
      <x:c r="B25" s="37" t="n">
        <x:v>46242.666666666664</x:v>
      </x:c>
      <x:c r="C25" s="23" t="str">
        <x:v>Week 3 — Show the learning loop</x:v>
      </x:c>
      <x:c r="D25" s="25" t="str">
        <x:v>Product proof</x:v>
      </x:c>
      <x:c r="E25" s="23" t="str">
        <x:v>Make the living-library structure understandable.</x:v>
      </x:c>
      <x:c r="F25" s="23" t="str">
        <x:v>YouTube Shorts, TikTok</x:v>
      </x:c>
      <x:c r="G25" s="23" t="str">
        <x:v>Animated map route</x:v>
      </x:c>
      <x:c r="H25" s="39" t="str">
        <x:v>One guide should leave a trail for the next learner.</x:v>
      </x:c>
      <x:c r="I25" s="23" t="str">
        <x:v>Published topics form a prerequisite map. A guide names the ideas underneath it and the questions it can unlock next. Contributions become useful when they improve the canonical path someone else will follow.</x:v>
      </x:c>
      <x:c r="J25" s="23" t="str">
        <x:v>Animate one prerequisite path with three nodes. Use only live published titles.</x:v>
      </x:c>
      <x:c r="K25" s="23" t="str">
        <x:v>Open one guide and follow a single prerequisite backward.</x:v>
      </x:c>
      <x:c r="L25" s="23" t="str">
        <x:v>app/home/guides/map/page.tsx; lib/guides-db.ts; supabase/migrations/20260705090000_guides_dag.sql</x:v>
      </x:c>
      <x:c r="M25" s="23" t="str">
        <x:v>Do not publish hard-coded guide counts or reviewer credentials.</x:v>
      </x:c>
      <x:c r="N25" s="23" t="str">
        <x:v>Post the three-node path as a saveable static graphic.</x:v>
      </x:c>
      <x:c r="O25" s="23" t="str">
        <x:v>Prerequisite opens and multi-guide sessions</x:v>
      </x:c>
      <x:c r="P25" s="41" t="str">
        <x:v>Planned</x:v>
      </x:c>
      <x:c r="Q25" s="41" t="str"/>
      <x:c r="R25" s="41" t="str"/>
      <x:c r="S25" s="41" t="str"/>
    </x:row>
    <x:row r="26" ht="88" customHeight="1">
      <x:c r="A26" s="33" t="n">
        <x:v>21</x:v>
      </x:c>
      <x:c r="B26" s="37" t="n">
        <x:v>46243.666666666664</x:v>
      </x:c>
      <x:c r="C26" s="23" t="str">
        <x:v>Week 3 — Show the learning loop</x:v>
      </x:c>
      <x:c r="D26" s="25" t="str">
        <x:v>Academic</x:v>
      </x:c>
      <x:c r="E26" s="23" t="str">
        <x:v>Explain what a virtual host can contribute without claiming learning efficacy.</x:v>
      </x:c>
      <x:c r="F26" s="23" t="str">
        <x:v>YouTube, Instagram carousel</x:v>
      </x:c>
      <x:c r="G26" s="23" t="str">
        <x:v>Evidence-and-limits explainer</x:v>
      </x:c>
      <x:c r="H26" s="39" t="str">
        <x:v>Can a virtual host help you find the next Academy action?</x:v>
      </x:c>
      <x:c r="I26" s="23" t="str">
        <x:v>In a peer-reviewed qualitative study, 301 VTuber viewers ages 18–26 described content, personality, avatar design, interaction, community, companionship, and task usefulness as reasons they watched. Participants already watched VTubers, were recruited from Reddit communities, and reported no nationality data. Our question for Blue is practical: can the host help someone find and complete one Academy action?</x:v>
      </x:c>
      <x:c r="J26" s="23" t="str">
        <x:v>Put the study limitations on screen beside Blue completing a platform route.</x:v>
      </x:c>
      <x:c r="K26" s="23" t="str">
        <x:v>After the demonstration, reply with the next action you would take.</x:v>
      </x:c>
      <x:c r="L26" s="23" t="str">
        <x:v>Li (2023), DOI 10.1515/omgc-2023-0030; research/content-calendar/07-young-adult-media.md</x:v>
      </x:c>
      <x:c r="M26" s="23" t="str">
        <x:v>Do not claim VTubers improve learning, treat loneliness, or represent all Gen Z viewers.</x:v>
      </x:c>
      <x:c r="N26" s="23" t="str">
        <x:v>Cut the task demonstration into a Short; keep the full method in the description.</x:v>
      </x:c>
      <x:c r="O26" s="23" t="str">
        <x:v>Correct next-action replies and qualified feature opens</x:v>
      </x:c>
      <x:c r="P26" s="41" t="str">
        <x:v>Planned</x:v>
      </x:c>
      <x:c r="Q26" s="41" t="str"/>
      <x:c r="R26" s="41" t="str"/>
      <x:c r="S26" s="41" t="str"/>
    </x:row>
    <x:row r="27" ht="88" customHeight="1">
      <x:c r="A27" s="33" t="n">
        <x:v>22</x:v>
      </x:c>
      <x:c r="B27" s="37" t="n">
        <x:v>46244.666666666664</x:v>
      </x:c>
      <x:c r="C27" s="23" t="str">
        <x:v>Week 4 — Publish the receipts</x:v>
      </x:c>
      <x:c r="D27" s="25" t="str">
        <x:v>Build note</x:v>
      </x:c>
      <x:c r="E27" s="23" t="str">
        <x:v>Show how the current Blue Radio episode works and choose one chapter for a longer follow-up.</x:v>
      </x:c>
      <x:c r="F27" s="23" t="str">
        <x:v>Founder account, YouTube</x:v>
      </x:c>
      <x:c r="G27" s="23" t="str">
        <x:v>Behind-the-scenes build note</x:v>
      </x:c>
      <x:c r="H27" s="39" t="str">
        <x:v>The first Blue Radio episode runs 4 minutes and 46 seconds.</x:v>
      </x:c>
      <x:c r="I27" s="23" t="str">
        <x:v>Ten prerecorded chapters loop through the day and night. Blue's voice level drives her broadcast motion. Each chapter introduces one Academy surface or practice. The current episode is a concise orientation broadcast.</x:v>
      </x:c>
      <x:c r="J27" s="23" t="str">
        <x:v>Show the manifest, chapter changes, waveform, and avatar motion. Label the episode prerecorded.</x:v>
      </x:c>
      <x:c r="K27" s="23" t="str">
        <x:v>Choose the chapter that should become a full episode.</x:v>
      </x:c>
      <x:c r="L27" s="23" t="str">
        <x:v>lib/blue-radio-manifest.json; components/blue-scene/BlueVrmCanvas.tsx; research/content-calendar/08-blue-radio-positioning.md</x:v>
      </x:c>
      <x:c r="M27" s="23" t="str">
        <x:v>Disclose prerecorded status. Do not describe proposed transcripts or episodes as shipped.</x:v>
      </x:c>
      <x:c r="N27" s="23" t="str">
        <x:v>Publish one technical clip for builders and one plain-language clip for learners.</x:v>
      </x:c>
      <x:c r="O27" s="23" t="str">
        <x:v>Qualified chapter votes</x:v>
      </x:c>
      <x:c r="P27" s="41" t="str">
        <x:v>Planned</x:v>
      </x:c>
      <x:c r="Q27" s="41" t="str"/>
      <x:c r="R27" s="41" t="str"/>
      <x:c r="S27" s="41" t="str"/>
    </x:row>
    <x:row r="28" ht="88" customHeight="1">
      <x:c r="A28" s="33" t="n">
        <x:v>23</x:v>
      </x:c>
      <x:c r="B28" s="37" t="n">
        <x:v>46245.666666666664</x:v>
      </x:c>
      <x:c r="C28" s="23" t="str">
        <x:v>Week 4 — Publish the receipts</x:v>
      </x:c>
      <x:c r="D28" s="25" t="str">
        <x:v>Product proof</x:v>
      </x:c>
      <x:c r="E28" s="23" t="str">
        <x:v>Connect one broadcast chapter directly to a completed action.</x:v>
      </x:c>
      <x:c r="F28" s="23" t="str">
        <x:v>Blue Radio, YouTube Shorts, Instagram Reels</x:v>
      </x:c>
      <x:c r="G28" s="23" t="str">
        <x:v>Chapter-to-screen walkthrough</x:v>
      </x:c>
      <x:c r="H28" s="39" t="str">
        <x:v>Hear the field-notes chapter. Open today's available page.</x:v>
      </x:c>
      <x:c r="I28" s="23" t="str">
        <x:v>Blue introduces field notes in the Academy. After the chapter, open today's available entry and start writing. The broadcast gives the map; the writing gives it weight.</x:v>
      </x:c>
      <x:c r="J28" s="23" t="str">
        <x:v>Record the chapter title, cut to Field Notes, and complete a three-line demo entry.</x:v>
      </x:c>
      <x:c r="K28" s="23" t="str">
        <x:v>Tune in, then write one field note.</x:v>
      </x:c>
      <x:c r="L28" s="23" t="str">
        <x:v>scripts/generate-blue-radio.ts; components/daily-notes/DailyNotes.tsx</x:v>
      </x:c>
      <x:c r="M28" s="23" t="str">
        <x:v>Do not imply the broadcast observes or remembers what the listener heard.</x:v>
      </x:c>
      <x:c r="N28" s="23" t="str">
        <x:v>Create one clip per Blue Radio chapter over the next production cycle.</x:v>
      </x:c>
      <x:c r="O28" s="23" t="str">
        <x:v>Tune-in-to-field-note conversion</x:v>
      </x:c>
      <x:c r="P28" s="41" t="str">
        <x:v>Planned</x:v>
      </x:c>
      <x:c r="Q28" s="41" t="str"/>
      <x:c r="R28" s="41" t="str"/>
      <x:c r="S28" s="41" t="str"/>
    </x:row>
    <x:row r="29" ht="88" customHeight="1">
      <x:c r="A29" s="33" t="n">
        <x:v>24</x:v>
      </x:c>
      <x:c r="B29" s="37" t="n">
        <x:v>46246.666666666664</x:v>
      </x:c>
      <x:c r="C29" s="23" t="str">
        <x:v>Week 4 — Publish the receipts</x:v>
      </x:c>
      <x:c r="D29" s="25" t="str">
        <x:v>Academic</x:v>
      </x:c>
      <x:c r="E29" s="23" t="str">
        <x:v>Turn privacy into a concrete product and content standard.</x:v>
      </x:c>
      <x:c r="F29" s="23" t="str">
        <x:v>Instagram carousel, YouTube</x:v>
      </x:c>
      <x:c r="G29" s="23" t="str">
        <x:v>Privacy behavior explainer</x:v>
      </x:c>
      <x:c r="H29" s="39" t="str">
        <x:v>Privacy becomes credible when the behavior is visible.</x:v>
      </x:c>
      <x:c r="I29" s="23" t="str">
        <x:v>Use a pseudonymous username and keep field-note text off camera. Before sharing a product demonstration, check every visible username, avatar, account identifier, reflection, and activity record. We will publish broader privacy claims after documenting what each surface collects, exposes, and sends to analytics or advertising systems.</x:v>
      </x:c>
      <x:c r="J29" s="23" t="str">
        <x:v>Show an anonymous profile state, a redacted field note, and a plain-language data-use checklist. Confirm each screen in production first.</x:v>
      </x:c>
      <x:c r="K29" s="23" t="str">
        <x:v>Open the notice beside one privacy-sensitive action.</x:v>
      </x:c>
      <x:c r="L29" s="23" t="str">
        <x:v>FTC BetterHelp final order (2023); Pew privacy survey (2023); EDITORIAL.md v4.0</x:v>
      </x:c>
      <x:c r="M29" s="23" t="str">
        <x:v>Hold until a production privacy audit documents notice text, public-profile behavior, field-note visibility, analytics flows, and advertising exclusions. Remove any claim the audit does not support.</x:v>
      </x:c>
      <x:c r="N29" s="23" t="str">
        <x:v>Add the checklist to creator briefs and demo-recording standards.</x:v>
      </x:c>
      <x:c r="O29" s="23" t="str">
        <x:v>Privacy-notice opens and qualified trust questions</x:v>
      </x:c>
      <x:c r="P29" s="41" t="str">
        <x:v>Planned</x:v>
      </x:c>
      <x:c r="Q29" s="41" t="str"/>
      <x:c r="R29" s="41" t="str"/>
      <x:c r="S29" s="41" t="str"/>
    </x:row>
    <x:row r="30" ht="88" customHeight="1">
      <x:c r="A30" s="33" t="n">
        <x:v>25</x:v>
      </x:c>
      <x:c r="B30" s="37" t="n">
        <x:v>46247.666666666664</x:v>
      </x:c>
      <x:c r="C30" s="23" t="str">
        <x:v>Week 4 — Publish the receipts</x:v>
      </x:c>
      <x:c r="D30" s="25" t="str">
        <x:v>Participant</x:v>
      </x:c>
      <x:c r="E30" s="23" t="str">
        <x:v>Feature a real mission result with conditions and consent.</x:v>
      </x:c>
      <x:c r="F30" s="23" t="str">
        <x:v>YouTube, Instagram carousel</x:v>
      </x:c>
      <x:c r="G30" s="23" t="str">
        <x:v>Mission debrief</x:v>
      </x:c>
      <x:c r="H30" s="39" t="str">
        <x:v>The useful part of a reward is the work it can prove.</x:v>
      </x:c>
      <x:c r="I30" s="23" t="str">
        <x:v>Show one eligible submission, the rubric it met, the review decision, and the learning artifact it produced. If the quest carried a reward, state the amount, conditions, and date only with the participant's permission and a verified reward record.</x:v>
      </x:c>
      <x:c r="J30" s="23" t="str">
        <x:v>Annotate the submission against the rubric. Redact identity and sensitive content according to the participant's preference.</x:v>
      </x:c>
      <x:c r="K30" s="23" t="str">
        <x:v>Read the rubric before choosing an open quest.</x:v>
      </x:c>
      <x:c r="L30" s="23" t="str">
        <x:v>Verified production quest, review record, ledger record, and participant consent required</x:v>
      </x:c>
      <x:c r="M30" s="23" t="str">
        <x:v>Hold if any evidence or permission is missing. No typical-earnings implication. Disclose any creator compensation.</x:v>
      </x:c>
      <x:c r="N30" s="23" t="str">
        <x:v>Turn the rubric annotations into a reusable 'what strong evidence looks like' guide.</x:v>
      </x:c>
      <x:c r="O30" s="23" t="str">
        <x:v>Eligible submissions and rubric comprehension</x:v>
      </x:c>
      <x:c r="P30" s="41" t="str">
        <x:v>Planned</x:v>
      </x:c>
      <x:c r="Q30" s="41" t="str"/>
      <x:c r="R30" s="41" t="str"/>
      <x:c r="S30" s="41" t="str"/>
    </x:row>
    <x:row r="31" ht="88" customHeight="1">
      <x:c r="A31" s="33" t="n">
        <x:v>26</x:v>
      </x:c>
      <x:c r="B31" s="37" t="n">
        <x:v>46248.666666666664</x:v>
      </x:c>
      <x:c r="C31" s="23" t="str">
        <x:v>Week 4 — Publish the receipts</x:v>
      </x:c>
      <x:c r="D31" s="25" t="str">
        <x:v>Product proof</x:v>
      </x:c>
      <x:c r="E31" s="23" t="str">
        <x:v>Frame credits as a receipt for verified participation.</x:v>
      </x:c>
      <x:c r="F31" s="23" t="str">
        <x:v>YouTube Shorts, TikTok, Instagram Reels</x:v>
      </x:c>
      <x:c r="G31" s="23" t="str">
        <x:v>Review-to-credit animation</x:v>
      </x:c>
      <x:c r="H31" s="39" t="str">
        <x:v>The work comes first. The credit records what passed review.</x:v>
      </x:c>
      <x:c r="I31" s="23" t="str">
        <x:v>Complete the task and submit the required evidence. A quest creator or authorized staff reviewer checks proof-required work; server rules verify eligible system-recorded tasks. Approved work can earn credits under the quest's published conditions. The standard stays visible from the start.</x:v>
      </x:c>
      <x:c r="J31" s="23" t="str">
        <x:v>Use a real low-risk credit flow or a clearly labeled staged demo. Show the rubric and approval state before the reward moment.</x:v>
      </x:c>
      <x:c r="K31" s="23" t="str">
        <x:v>Open one quest and inspect what the reviewer will check.</x:v>
      </x:c>
      <x:c r="L31" s="23" t="str">
        <x:v>Current quest-review and credit-award implementation; EDITORIAL.md v4.0</x:v>
      </x:c>
      <x:c r="M31" s="23" t="str">
        <x:v>Hold until the current review and credit flow is verified in production or a staged demo is labeled on screen. Use 'credits' in outward copy. Make no claim of guaranteed approval, value, or financial appreciation.</x:v>
      </x:c>
      <x:c r="N31" s="23" t="str">
        <x:v>Create a three-frame explainer for the landing-page FAQ backlog.</x:v>
      </x:c>
      <x:c r="O31" s="23" t="str">
        <x:v>Quest-detail opens and eligible completion rate</x:v>
      </x:c>
      <x:c r="P31" s="41" t="str">
        <x:v>Planned</x:v>
      </x:c>
      <x:c r="Q31" s="41" t="str"/>
      <x:c r="R31" s="41" t="str"/>
      <x:c r="S31" s="41" t="str"/>
    </x:row>
    <x:row r="32" ht="88" customHeight="1">
      <x:c r="A32" s="33" t="n">
        <x:v>27</x:v>
      </x:c>
      <x:c r="B32" s="37" t="n">
        <x:v>46249.666666666664</x:v>
      </x:c>
      <x:c r="C32" s="23" t="str">
        <x:v>Week 4 — Publish the receipts</x:v>
      </x:c>
      <x:c r="D32" s="25" t="str">
        <x:v>Academic</x:v>
      </x:c>
      <x:c r="E32" s="23" t="str">
        <x:v>Translate online-learning preferences into a small product choice.</x:v>
      </x:c>
      <x:c r="F32" s="23" t="str">
        <x:v>Instagram carousel, YouTube Shorts</x:v>
      </x:c>
      <x:c r="G32" s="23" t="str">
        <x:v>Evidence card plus three entry paths</x:v>
      </x:c>
      <x:c r="H32" s="39" t="str">
        <x:v>Five minutes, a full lesson, or something to hear while you move.</x:v>
      </x:c>
      <x:c r="I32" s="23" t="str">
        <x:v>A 2025 survey of 2,032 U.S. adults ages 18–24 who were attending or considering college found flexibility, affordability, and self-paced learning were common reasons to consider online study. The publisher and incomplete methodology limit generalization. The practical test is simple: offer the same objective at three depths and see which path people complete.</x:v>
      </x:c>
      <x:c r="J32" s="23" t="str">
        <x:v>Three cards: five-minute mission, full guide, Blue Radio chapter. Put the survey caveat in the footer.</x:v>
      </x:c>
      <x:c r="K32" s="23" t="str">
        <x:v>Choose the amount of time you have and complete one action.</x:v>
      </x:c>
      <x:c r="L32" s="23" t="str">
        <x:v>Champlain College Online (2025); research/content-calendar/07-young-adult-media.md</x:v>
      </x:c>
      <x:c r="M32" s="23" t="str">
        <x:v>Call the finding directional. Do not claim young adults broadly prefer online education.</x:v>
      </x:c>
      <x:c r="N32" s="23" t="str">
        <x:v>Use the three choices as onboarding copy test variants.</x:v>
      </x:c>
      <x:c r="O32" s="23" t="str">
        <x:v>Completion rate by time-depth option</x:v>
      </x:c>
      <x:c r="P32" s="41" t="str">
        <x:v>Planned</x:v>
      </x:c>
      <x:c r="Q32" s="41" t="str"/>
      <x:c r="R32" s="41" t="str"/>
      <x:c r="S32" s="41" t="str"/>
    </x:row>
    <x:row r="33" ht="88" customHeight="1">
      <x:c r="A33" s="33" t="n">
        <x:v>28</x:v>
      </x:c>
      <x:c r="B33" s="37" t="n">
        <x:v>46250.666666666664</x:v>
      </x:c>
      <x:c r="C33" s="23" t="str">
        <x:v>Week 4 — Publish the receipts</x:v>
      </x:c>
      <x:c r="D33" s="25" t="str">
        <x:v>Product proof</x:v>
      </x:c>
      <x:c r="E33" s="23" t="str">
        <x:v>Show the ordered 12-week course as a coherent path.</x:v>
      </x:c>
      <x:c r="F33" s="23" t="str">
        <x:v>YouTube, Instagram Reels</x:v>
      </x:c>
      <x:c r="G33" s="23" t="str">
        <x:v>Course-path walkthrough</x:v>
      </x:c>
      <x:c r="H33" s="39" t="str">
        <x:v>Each week stands on the one before it.</x:v>
      </x:c>
      <x:c r="I33" s="23" t="str">
        <x:v>Creative Healing is organized into twelve season-timed weeks. Each week pairs a reading with coursework. Complete every task in the current week to seal it; future weeks can be previewed, then completed when the season reaches them. The schedule gives the work a structure.</x:v>
      </x:c>
      <x:c r="J33" s="23" t="str">
        <x:v>Show the current production course surface and one week-sealing flow. Avoid unreleased weeks or private learner content.</x:v>
      </x:c>
      <x:c r="K33" s="23" t="str">
        <x:v>Open the current week and complete one task.</x:v>
      </x:c>
      <x:c r="L33" s="23" t="str">
        <x:v>app/shadow-work/page.tsx; scripts/generate-blue-radio.ts</x:v>
      </x:c>
      <x:c r="M33" s="23" t="str">
        <x:v>Hold until the current production course titles, access rules, and week-sealing flow match the recording. Show no unreleased week or private learner content, and promise no outcome beyond the curriculum on screen.</x:v>
      </x:c>
      <x:c r="N33" s="23" t="str">
        <x:v>Cut one clip for each course stage for the next month.</x:v>
      </x:c>
      <x:c r="O33" s="23" t="str">
        <x:v>Course-week starts and task completions</x:v>
      </x:c>
      <x:c r="P33" s="41" t="str">
        <x:v>Planned</x:v>
      </x:c>
      <x:c r="Q33" s="41" t="str"/>
      <x:c r="R33" s="41" t="str"/>
      <x:c r="S33" s="41" t="str"/>
    </x:row>
    <x:row r="34" ht="88" customHeight="1">
      <x:c r="A34" s="33" t="n">
        <x:v>29</x:v>
      </x:c>
      <x:c r="B34" s="37" t="n">
        <x:v>46251.666666666664</x:v>
      </x:c>
      <x:c r="C34" s="23" t="str">
        <x:v>Week 4 — Publish the receipts</x:v>
      </x:c>
      <x:c r="D34" s="25" t="str">
        <x:v>Participant</x:v>
      </x:c>
      <x:c r="E34" s="23" t="str">
        <x:v>Close the user-learning loop with a real product or copy change.</x:v>
      </x:c>
      <x:c r="F34" s="23" t="str">
        <x:v>Founder account, YouTube Shorts</x:v>
      </x:c>
      <x:c r="G34" s="23" t="str">
        <x:v>You asked, we changed</x:v>
      </x:c>
      <x:c r="H34" s="39" t="str">
        <x:v>Someone got stuck here. This is what changed.</x:v>
      </x:c>
      <x:c r="I34" s="23" t="str">
        <x:v>Show the exact point of confusion, the evidence that it recurred, and the smallest change shipped. Then demonstrate the revised route. The person who raised it can remain anonymous, receive credit, or appear directly—their choice.</x:v>
      </x:c>
      <x:c r="J34" s="23" t="str">
        <x:v>Before-and-after screen recording with one highlighted friction point and one changed outcome.</x:v>
      </x:c>
      <x:c r="K34" s="23" t="str">
        <x:v>Complete the revised route.</x:v>
      </x:c>
      <x:c r="L34" s="23" t="str">
        <x:v>Observed session or repeated support question, shipped change, and consent/attribution record required</x:v>
      </x:c>
      <x:c r="M34" s="23" t="str">
        <x:v>Hold until the recurring friction evidence, deployed change, and consent or attribution preference are documented. Do not expose support content or invent user feedback.</x:v>
      </x:c>
      <x:c r="N34" s="23" t="str">
        <x:v>Add the change to the monthly release note and community follow-up.</x:v>
      </x:c>
      <x:c r="O34" s="23" t="str">
        <x:v>Revised-route completion rate</x:v>
      </x:c>
      <x:c r="P34" s="41" t="str">
        <x:v>Planned</x:v>
      </x:c>
      <x:c r="Q34" s="41" t="str"/>
      <x:c r="R34" s="41" t="str"/>
      <x:c r="S34" s="41" t="str"/>
    </x:row>
    <x:row r="35" ht="88" customHeight="1">
      <x:c r="A35" s="33" t="n">
        <x:v>30</x:v>
      </x:c>
      <x:c r="B35" s="37" t="n">
        <x:v>46252.666666666664</x:v>
      </x:c>
      <x:c r="C35" s="23" t="str">
        <x:v>Week 4 — Publish the receipts</x:v>
      </x:c>
      <x:c r="D35" s="25" t="str">
        <x:v>Community ritual</x:v>
      </x:c>
      <x:c r="E35" s="23" t="str">
        <x:v>Publish the month's evidence and open the next learning loop.</x:v>
      </x:c>
      <x:c r="F35" s="23" t="str">
        <x:v>YouTube, Instagram carousel, Discord</x:v>
      </x:c>
      <x:c r="G35" s="23" t="str">
        <x:v>Closing field report</x:v>
      </x:c>
      <x:c r="H35" s="39" t="str">
        <x:v>Thirty days of fieldwork. Here is what the Academy learned.</x:v>
      </x:c>
      <x:c r="I35" s="23" t="str">
        <x:v>Report the questions investigated, lessons published, meaningful actions completed, returning learners, guide revisions, and product changes. Name every metric, window, denominator, and limitation. Close with one next experiment grounded in what people actually did.</x:v>
      </x:c>
      <x:c r="J35" s="23" t="str">
        <x:v>A calm field-report deck: question, method, evidence, limitation, change, next experiment. Use current verified product captures.</x:v>
      </x:c>
      <x:c r="K35" s="23" t="str">
        <x:v>Open one current mission and read its completion criteria.</x:v>
      </x:c>
      <x:c r="L35" s="23" t="str">
        <x:v>First-party analytics, source ledger, change log, and consent records through 2026-08-18</x:v>
      </x:c>
      <x:c r="M35" s="23" t="str">
        <x:v>Hold until every total has a source, window, definition, denominator, and limitation, and every participant artifact has permission. Publish no scarcity claim, resetting countdown, broad outcome claim, or press pitch without verifiable news.</x:v>
      </x:c>
      <x:c r="N35" s="23" t="str">
        <x:v>Turn the report into a landing-page proof backlog and a press note only if the evidence is genuinely newsworthy.</x:v>
      </x:c>
      <x:c r="O35" s="23" t="str">
        <x:v>First meaningful actions and seven-day return from the closing report</x:v>
      </x:c>
      <x:c r="P35" s="41" t="str">
        <x:v>Planned</x:v>
      </x:c>
      <x:c r="Q35" s="41" t="str"/>
      <x:c r="R35" s="41" t="str"/>
      <x:c r="S35" s="41" t="str"/>
    </x:row>
  </x:sheetData>
  <x:mergeCells>
    <x:mergeCell ref="A1:S1"/>
    <x:mergeCell ref="A2:S2"/>
    <x:mergeCell ref="A4:S4"/>
  </x:mergeCells>
  <x:conditionalFormatting sqref="D6:D35">
    <x:cfRule type="containsText" dxfId="0" priority="1" operator="containsText" text="Product proof"/>
    <x:cfRule type="containsText" dxfId="1" priority="2" operator="containsText" text="Academic"/>
    <x:cfRule type="containsText" dxfId="2" priority="3" operator="containsText" text="Participant"/>
    <x:cfRule type="containsText" dxfId="3" priority="4" operator="containsText" text="Build note"/>
  </x:conditionalFormatting>
  <x:conditionalFormatting sqref="P6:P35">
    <x:cfRule type="containsText" dxfId="4" priority="5" operator="containsText" text="Published"/>
    <x:cfRule type="containsText" dxfId="5" priority="6" operator="containsText" text="Held"/>
  </x:conditionalFormatting>
  <x:dataValidations count="1">
    <x:dataValidation type="list" sqref="P6:P35">
      <x:formula1>"Planned,Drafting,Review,Scheduled,Published,Held"</x:formula1>
    </x:dataValidation>
  </x:dataValidations>
  <x:pageMargins left="0.7" right="0.7" top="0.75" bottom="0.75" header="0.3" footer="0.3"/>
  <x:tableParts count="1">
    <x:tablePart xmlns:r="http://schemas.openxmlformats.org/officeDocument/2006/relationships" r:id="R3b6e89870d144441"/>
  </x:tableParts>
</x:worksheet>
</file>

<file path=xl/worksheets/sheet3.xml><?xml version="1.0" encoding="utf-8"?>
<x:worksheet xmlns:x="http://schemas.openxmlformats.org/spreadsheetml/2006/main">
  <x:sheetViews>
    <x:sheetView showGridLines="0" workbookViewId="0"/>
  </x:sheetViews>
  <x:sheetFormatPr defaultRowHeight="15"/>
  <x:cols>
    <x:col min="1" max="1" width="20" hidden="0" customWidth="1"/>
    <x:col min="2" max="2" width="44" hidden="0" customWidth="1"/>
    <x:col min="3" max="3" width="34" hidden="0" customWidth="1"/>
    <x:col min="4" max="4" width="35" hidden="0" customWidth="1"/>
    <x:col min="5" max="5" width="35" hidden="0" customWidth="1"/>
    <x:col min="6" max="6" width="27" hidden="0" customWidth="1"/>
    <x:col min="7" max="7" width="45" hidden="0" customWidth="1"/>
  </x:cols>
  <x:sheetData>
    <x:row r="1" ht="34" customHeight="1">
      <x:c r="A1" s="4" t="str">
        <x:v>Channel Playbook</x:v>
      </x:c>
      <x:c r="B1" s="4"/>
      <x:c r="C1" s="4"/>
      <x:c r="D1" s="4"/>
      <x:c r="E1" s="4"/>
      <x:c r="F1" s="4"/>
      <x:c r="G1" s="4"/>
    </x:row>
    <x:row r="2" ht="30" customHeight="1">
      <x:c r="A2" s="8" t="str">
        <x:v>One anchor asset can travel across surfaces, but every version should match the native context and lead to one product action.</x:v>
      </x:c>
      <x:c r="B2" s="8"/>
      <x:c r="C2" s="8"/>
      <x:c r="D2" s="8"/>
      <x:c r="E2" s="8"/>
      <x:c r="F2" s="8"/>
      <x:c r="G2" s="8"/>
    </x:row>
    <x:row r="4" ht="34" customHeight="1">
      <x:c r="A4" s="13" t="str">
        <x:v>Channel</x:v>
      </x:c>
      <x:c r="B4" s="13" t="str">
        <x:v>Role</x:v>
      </x:c>
      <x:c r="C4" s="13" t="str">
        <x:v>Best Anchor Format</x:v>
      </x:c>
      <x:c r="D4" s="13" t="str">
        <x:v>Primary Job</x:v>
      </x:c>
      <x:c r="E4" s="13" t="str">
        <x:v>Default CTA</x:v>
      </x:c>
      <x:c r="F4" s="13" t="str">
        <x:v>Primary KPI</x:v>
      </x:c>
      <x:c r="G4" s="13" t="str">
        <x:v>Operating Note</x:v>
      </x:c>
    </x:row>
    <x:row r="5" ht="64" customHeight="1">
      <x:c r="A5" s="24" t="str">
        <x:v>YouTube</x:v>
      </x:c>
      <x:c r="B5" s="22" t="str">
        <x:v>Anchor channel for searchable explanations, product walkthroughs, Shorts, replays, and future broadcast archives.</x:v>
      </x:c>
      <x:c r="C5" s="22" t="str">
        <x:v>2–5 minute explanation or walkthrough</x:v>
      </x:c>
      <x:c r="D5" s="22" t="str">
        <x:v>Depth, search, replay, and product demonstration</x:v>
      </x:c>
      <x:c r="E5" s="22" t="str">
        <x:v>Open the matching guide, mission, or Blue Radio chapter</x:v>
      </x:c>
      <x:c r="F5" s="22" t="str">
        <x:v>Meaningful actions from video</x:v>
      </x:c>
      <x:c r="G5" s="22" t="str">
        <x:v>Publish one searchable explanation each week; derive Shorts from it.</x:v>
      </x:c>
    </x:row>
    <x:row r="6" ht="64" customHeight="1">
      <x:c r="A6" s="25" t="str">
        <x:v>TikTok</x:v>
      </x:c>
      <x:c r="B6" s="23" t="str">
        <x:v>Discovery through 20–45 second concept-first clips with captions and one next action.</x:v>
      </x:c>
      <x:c r="C6" s="23" t="str">
        <x:v>20–45 second concept-first clip</x:v>
      </x:c>
      <x:c r="D6" s="23" t="str">
        <x:v>Discovery and question formation</x:v>
      </x:c>
      <x:c r="E6" s="23" t="str">
        <x:v>Continue the same task in the Academy</x:v>
      </x:c>
      <x:c r="F6" s="23" t="str">
        <x:v>Qualified visits and saves</x:v>
      </x:c>
      <x:c r="G6" s="23" t="str">
        <x:v>Lead with the intellectual problem, then show Blue or the product action.</x:v>
      </x:c>
    </x:row>
    <x:row r="7" ht="64" customHeight="1">
      <x:c r="A7" s="25" t="str">
        <x:v>Instagram Reels</x:v>
      </x:c>
      <x:c r="B7" s="23" t="str">
        <x:v>Discovery through 20–45 second concept-first clips with captions and one next action.</x:v>
      </x:c>
      <x:c r="C7" s="23" t="str">
        <x:v>20–45 second captioned clip</x:v>
      </x:c>
      <x:c r="D7" s="23" t="str">
        <x:v>Discovery and familiar character presence</x:v>
      </x:c>
      <x:c r="E7" s="23" t="str">
        <x:v>Save, reply, or open the matching action</x:v>
      </x:c>
      <x:c r="F7" s="23" t="str">
        <x:v>Saves and meaningful actions</x:v>
      </x:c>
      <x:c r="G7" s="23" t="str">
        <x:v>Use clear captions and visual proof within the first seconds.</x:v>
      </x:c>
    </x:row>
    <x:row r="8" ht="64" customHeight="1">
      <x:c r="A8" s="25" t="str">
        <x:v>Instagram Carousel</x:v>
      </x:c>
      <x:c r="B8" s="23" t="str">
        <x:v>Saveable research cards, product maps, and source limitations.</x:v>
      </x:c>
      <x:c r="C8" s="23" t="str">
        <x:v>Five-to-seven card source or product map</x:v>
      </x:c>
      <x:c r="D8" s="23" t="str">
        <x:v>Save value and research credibility</x:v>
      </x:c>
      <x:c r="E8" s="23" t="str">
        <x:v>Save the test or open the full source</x:v>
      </x:c>
      <x:c r="F8" s="23" t="str">
        <x:v>Saves and source clicks</x:v>
      </x:c>
      <x:c r="G8" s="23" t="str">
        <x:v>Put population, year, method, and limitation on the card.</x:v>
      </x:c>
    </x:row>
    <x:row r="9" ht="64" customHeight="1">
      <x:c r="A9" s="25" t="str">
        <x:v>Reddit / Communities</x:v>
      </x:c>
      <x:c r="B9" s="23" t="str">
        <x:v>Native, useful discussions and focused feedback requests after learning each community's rules.</x:v>
      </x:c>
      <x:c r="C9" s="23" t="str">
        <x:v>Native useful post with one focused request</x:v>
      </x:c>
      <x:c r="D9" s="23" t="str">
        <x:v>Research, discussion, and early learner recruitment</x:v>
      </x:c>
      <x:c r="E9" s="23" t="str">
        <x:v>Answer one question or test one route</x:v>
      </x:c>
      <x:c r="F9" s="23" t="str">
        <x:v>Substantive replies and interviews</x:v>
      </x:c>
      <x:c r="G9" s="23" t="str">
        <x:v>Learn each community’s rules and participate before posting.</x:v>
      </x:c>
    </x:row>
    <x:row r="10" ht="64" customHeight="1">
      <x:c r="A10" s="25" t="str">
        <x:v>Discord</x:v>
      </x:c>
      <x:c r="B10" s="23" t="str">
        <x:v>Existing-member prompts, field checks, and consented artifact discussion.</x:v>
      </x:c>
      <x:c r="C10" s="23" t="str">
        <x:v>Prompt, field check, or consented artifact</x:v>
      </x:c>
      <x:c r="D10" s="23" t="str">
        <x:v>Existing-member learning loop</x:v>
      </x:c>
      <x:c r="E10" s="23" t="str">
        <x:v>Complete one action or review one artifact</x:v>
      </x:c>
      <x:c r="F10" s="23" t="str">
        <x:v>Completions and useful feedback</x:v>
      </x:c>
      <x:c r="G10" s="23" t="str">
        <x:v>Keep participant work permissioned and avoid public pressure.</x:v>
      </x:c>
    </x:row>
    <x:row r="11" ht="64" customHeight="1">
      <x:c r="A11" s="25" t="str">
        <x:v>Blue Radio</x:v>
      </x:c>
      <x:c r="B11" s="23" t="str">
        <x:v>In-product orientation, recurring host presence, and source material for clips; the current episode is prerecorded and loops through the day and night.</x:v>
      </x:c>
      <x:c r="C11" s="23" t="str">
        <x:v>Prerecorded synchronized chapter</x:v>
      </x:c>
      <x:c r="D11" s="23" t="str">
        <x:v>Ambient orientation and recurring host presence</x:v>
      </x:c>
      <x:c r="E11" s="23" t="str">
        <x:v>Open the feature named in the chapter</x:v>
      </x:c>
      <x:c r="F11" s="23" t="str">
        <x:v>Tune-in-to-action conversion</x:v>
      </x:c>
      <x:c r="G11" s="23" t="str">
        <x:v>Current episode is 4:46 and prerecorded. Treat stronger broadcast claims as roadmap.</x:v>
      </x:c>
    </x:row>
    <x:row r="12" ht="64" customHeight="1">
      <x:c r="A12" s="25" t="str">
        <x:v>Founder Account</x:v>
      </x:c>
      <x:c r="B12" s="23" t="str">
        <x:v>Transparent build notes, corrections, and user-learning updates.</x:v>
      </x:c>
      <x:c r="C12" s="23" t="str">
        <x:v>Correction log or what-changed note</x:v>
      </x:c>
      <x:c r="D12" s="23" t="str">
        <x:v>Trust, product learning, and accountable building</x:v>
      </x:c>
      <x:c r="E12" s="23" t="str">
        <x:v>Inspect the source or retry the route</x:v>
      </x:c>
      <x:c r="F12" s="23" t="str">
        <x:v>Qualified questions and retries</x:v>
      </x:c>
      <x:c r="G12" s="23" t="str">
        <x:v>Publish real changes and limitations. Skip filler updates.</x:v>
      </x:c>
    </x:row>
  </x:sheetData>
  <x:mergeCells>
    <x:mergeCell ref="A1:G1"/>
    <x:mergeCell ref="A2:G2"/>
  </x:mergeCells>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6" hidden="0" customWidth="1"/>
    <x:col min="2" max="2" width="12" hidden="0" customWidth="1"/>
    <x:col min="3" max="3" width="18" hidden="0" customWidth="1"/>
    <x:col min="4" max="4" width="30" hidden="0" customWidth="1"/>
    <x:col min="5" max="5" width="14" hidden="0" customWidth="1"/>
    <x:col min="6" max="6" width="12" hidden="0" customWidth="1"/>
    <x:col min="7" max="7" width="17" hidden="0" customWidth="1"/>
    <x:col min="8" max="8" width="18" hidden="0" customWidth="1"/>
    <x:col min="9" max="9" width="14" hidden="0" customWidth="1"/>
    <x:col min="10" max="10" width="16" hidden="0" customWidth="1"/>
    <x:col min="11" max="11" width="14" hidden="0" customWidth="1"/>
    <x:col min="12" max="12" width="12" hidden="0" customWidth="1"/>
    <x:col min="13" max="13" width="20" hidden="0" customWidth="1"/>
    <x:col min="14" max="14" width="20" hidden="0" customWidth="1"/>
    <x:col min="15" max="15" width="14" hidden="0" customWidth="1"/>
    <x:col min="16" max="16" width="34" hidden="0" customWidth="1"/>
  </x:cols>
  <x:sheetData>
    <x:row r="1" ht="34" customHeight="1">
      <x:c r="A1" s="4" t="str">
        <x:v>Measurement Tracker</x:v>
      </x:c>
      <x:c r="B1" s="4"/>
      <x:c r="C1" s="4"/>
      <x:c r="D1" s="4"/>
      <x:c r="E1" s="4"/>
      <x:c r="F1" s="4"/>
      <x:c r="G1" s="4"/>
      <x:c r="H1" s="4"/>
      <x:c r="I1" s="4"/>
      <x:c r="J1" s="4"/>
      <x:c r="K1" s="4"/>
      <x:c r="L1" s="4"/>
      <x:c r="M1" s="4"/>
      <x:c r="N1" s="4"/>
      <x:c r="O1" s="4"/>
      <x:c r="P1" s="4"/>
    </x:row>
    <x:row r="2" ht="30" customHeight="1">
      <x:c r="A2" s="8" t="str">
        <x:v>Yellow cells are inputs. Action rate and return rate are formulas. Define every metric before comparing posts.</x:v>
      </x:c>
      <x:c r="B2" s="8"/>
      <x:c r="C2" s="8"/>
      <x:c r="D2" s="8"/>
      <x:c r="E2" s="8"/>
      <x:c r="F2" s="8"/>
      <x:c r="G2" s="8"/>
      <x:c r="H2" s="8"/>
      <x:c r="I2" s="8"/>
      <x:c r="J2" s="8"/>
      <x:c r="K2" s="8"/>
      <x:c r="L2" s="8"/>
      <x:c r="M2" s="8"/>
      <x:c r="N2" s="8"/>
      <x:c r="O2" s="8"/>
      <x:c r="P2" s="8"/>
    </x:row>
    <x:row r="5" ht="34" customHeight="1">
      <x:c r="A5" s="13" t="str">
        <x:v>Day</x:v>
      </x:c>
      <x:c r="B5" s="13" t="str">
        <x:v>Date</x:v>
      </x:c>
      <x:c r="C5" s="13" t="str">
        <x:v>Content Type</x:v>
      </x:c>
      <x:c r="D5" s="13" t="str">
        <x:v>Primary Channel</x:v>
      </x:c>
      <x:c r="E5" s="13" t="str">
        <x:v>Status</x:v>
      </x:c>
      <x:c r="F5" s="13" t="str">
        <x:v>Views</x:v>
      </x:c>
      <x:c r="G5" s="13" t="str">
        <x:v>Qualified Visits</x:v>
      </x:c>
      <x:c r="H5" s="13" t="str">
        <x:v>Meaningful Actions</x:v>
      </x:c>
      <x:c r="I5" s="13" t="str">
        <x:v>Action Rate</x:v>
      </x:c>
      <x:c r="J5" s="13" t="str">
        <x:v>7-Day Returns</x:v>
      </x:c>
      <x:c r="K5" s="13" t="str">
        <x:v>Return Rate</x:v>
      </x:c>
      <x:c r="L5" s="13" t="str">
        <x:v>Saves</x:v>
      </x:c>
      <x:c r="M5" s="13" t="str">
        <x:v>Substantive Replies</x:v>
      </x:c>
      <x:c r="N5" s="13" t="str">
        <x:v>Blue Radio Tune-Ins</x:v>
      </x:c>
      <x:c r="O5" s="13" t="str">
        <x:v>Source Clicks</x:v>
      </x:c>
      <x:c r="P5" s="13" t="str">
        <x:v>Notes</x:v>
      </x:c>
    </x:row>
    <x:row r="6" ht="34" customHeight="1">
      <x:c r="A6" s="22" t="n">
        <x:v>1</x:v>
      </x:c>
      <x:c r="B6" s="34" t="n">
        <x:v>46223.666666666664</x:v>
      </x:c>
      <x:c r="C6" s="22" t="str">
        <x:v>Community ritual</x:v>
      </x:c>
      <x:c r="D6" s="22" t="str">
        <x:v>YouTube Shorts, TikTok, Instagram Reels</x:v>
      </x:c>
      <x:c r="E6" s="22" t="str">
        <x:f>'30-Day Calendar'!P6</x:f>
        <x:v>Planned</x:v>
      </x:c>
      <x:c r="F6" s="40" t="str"/>
      <x:c r="G6" s="40" t="str"/>
      <x:c r="H6" s="40" t="str"/>
      <x:c r="I6" s="42" t="n">
        <x:f>IFERROR(H6/G6,0)</x:f>
        <x:v>0</x:v>
      </x:c>
      <x:c r="J6" s="40" t="str"/>
      <x:c r="K6" s="42" t="n">
        <x:f>IFERROR(J6/H6,0)</x:f>
        <x:v>0</x:v>
      </x:c>
      <x:c r="L6" s="40" t="str"/>
      <x:c r="M6" s="40" t="str"/>
      <x:c r="N6" s="40" t="str"/>
      <x:c r="O6" s="40" t="str"/>
      <x:c r="P6" s="40" t="str"/>
    </x:row>
    <x:row r="7" ht="34" customHeight="1">
      <x:c r="A7" s="23" t="n">
        <x:v>2</x:v>
      </x:c>
      <x:c r="B7" s="35" t="n">
        <x:v>46224.666666666664</x:v>
      </x:c>
      <x:c r="C7" s="23" t="str">
        <x:v>Academic</x:v>
      </x:c>
      <x:c r="D7" s="23" t="str">
        <x:v>Instagram carousel, YouTube Shorts</x:v>
      </x:c>
      <x:c r="E7" s="23" t="str">
        <x:f>'30-Day Calendar'!P7</x:f>
        <x:v>Planned</x:v>
      </x:c>
      <x:c r="F7" s="41" t="str"/>
      <x:c r="G7" s="41" t="str"/>
      <x:c r="H7" s="41" t="str"/>
      <x:c r="I7" s="43" t="n">
        <x:f>IFERROR(H7/G7,0)</x:f>
        <x:v>0</x:v>
      </x:c>
      <x:c r="J7" s="41" t="str"/>
      <x:c r="K7" s="43" t="n">
        <x:f>IFERROR(J7/H7,0)</x:f>
        <x:v>0</x:v>
      </x:c>
      <x:c r="L7" s="41" t="str"/>
      <x:c r="M7" s="41" t="str"/>
      <x:c r="N7" s="41" t="str"/>
      <x:c r="O7" s="41" t="str"/>
      <x:c r="P7" s="41" t="str"/>
    </x:row>
    <x:row r="8" ht="34" customHeight="1">
      <x:c r="A8" s="23" t="n">
        <x:v>3</x:v>
      </x:c>
      <x:c r="B8" s="35" t="n">
        <x:v>46225.666666666664</x:v>
      </x:c>
      <x:c r="C8" s="23" t="str">
        <x:v>Product proof</x:v>
      </x:c>
      <x:c r="D8" s="23" t="str">
        <x:v>YouTube Shorts, TikTok, Instagram Reels</x:v>
      </x:c>
      <x:c r="E8" s="23" t="str">
        <x:f>'30-Day Calendar'!P8</x:f>
        <x:v>Planned</x:v>
      </x:c>
      <x:c r="F8" s="41" t="str"/>
      <x:c r="G8" s="41" t="str"/>
      <x:c r="H8" s="41" t="str"/>
      <x:c r="I8" s="43" t="n">
        <x:f>IFERROR(H8/G8,0)</x:f>
        <x:v>0</x:v>
      </x:c>
      <x:c r="J8" s="41" t="str"/>
      <x:c r="K8" s="43" t="n">
        <x:f>IFERROR(J8/H8,0)</x:f>
        <x:v>0</x:v>
      </x:c>
      <x:c r="L8" s="41" t="str"/>
      <x:c r="M8" s="41" t="str"/>
      <x:c r="N8" s="41" t="str"/>
      <x:c r="O8" s="41" t="str"/>
      <x:c r="P8" s="41" t="str"/>
    </x:row>
    <x:row r="9" ht="34" customHeight="1">
      <x:c r="A9" s="23" t="n">
        <x:v>4</x:v>
      </x:c>
      <x:c r="B9" s="35" t="n">
        <x:v>46226.666666666664</x:v>
      </x:c>
      <x:c r="C9" s="23" t="str">
        <x:v>Product proof</x:v>
      </x:c>
      <x:c r="D9" s="23" t="str">
        <x:v>YouTube</x:v>
      </x:c>
      <x:c r="E9" s="23" t="str">
        <x:f>'30-Day Calendar'!P9</x:f>
        <x:v>Planned</x:v>
      </x:c>
      <x:c r="F9" s="41" t="str"/>
      <x:c r="G9" s="41" t="str"/>
      <x:c r="H9" s="41" t="str"/>
      <x:c r="I9" s="43" t="n">
        <x:f>IFERROR(H9/G9,0)</x:f>
        <x:v>0</x:v>
      </x:c>
      <x:c r="J9" s="41" t="str"/>
      <x:c r="K9" s="43" t="n">
        <x:f>IFERROR(J9/H9,0)</x:f>
        <x:v>0</x:v>
      </x:c>
      <x:c r="L9" s="41" t="str"/>
      <x:c r="M9" s="41" t="str"/>
      <x:c r="N9" s="41" t="str"/>
      <x:c r="O9" s="41" t="str"/>
      <x:c r="P9" s="41" t="str"/>
    </x:row>
    <x:row r="10" ht="34" customHeight="1">
      <x:c r="A10" s="23" t="n">
        <x:v>5</x:v>
      </x:c>
      <x:c r="B10" s="35" t="n">
        <x:v>46227.666666666664</x:v>
      </x:c>
      <x:c r="C10" s="23" t="str">
        <x:v>Academic</x:v>
      </x:c>
      <x:c r="D10" s="23" t="str">
        <x:v>Instagram carousel, Reddit</x:v>
      </x:c>
      <x:c r="E10" s="23" t="str">
        <x:f>'30-Day Calendar'!P10</x:f>
        <x:v>Planned</x:v>
      </x:c>
      <x:c r="F10" s="41" t="str"/>
      <x:c r="G10" s="41" t="str"/>
      <x:c r="H10" s="41" t="str"/>
      <x:c r="I10" s="43" t="n">
        <x:f>IFERROR(H10/G10,0)</x:f>
        <x:v>0</x:v>
      </x:c>
      <x:c r="J10" s="41" t="str"/>
      <x:c r="K10" s="43" t="n">
        <x:f>IFERROR(J10/H10,0)</x:f>
        <x:v>0</x:v>
      </x:c>
      <x:c r="L10" s="41" t="str"/>
      <x:c r="M10" s="41" t="str"/>
      <x:c r="N10" s="41" t="str"/>
      <x:c r="O10" s="41" t="str"/>
      <x:c r="P10" s="41" t="str"/>
    </x:row>
    <x:row r="11" ht="34" customHeight="1">
      <x:c r="A11" s="23" t="n">
        <x:v>6</x:v>
      </x:c>
      <x:c r="B11" s="35" t="n">
        <x:v>46228.666666666664</x:v>
      </x:c>
      <x:c r="C11" s="23" t="str">
        <x:v>Participant</x:v>
      </x:c>
      <x:c r="D11" s="23" t="str">
        <x:v>Instagram Reels, YouTube Shorts</x:v>
      </x:c>
      <x:c r="E11" s="23" t="str">
        <x:f>'30-Day Calendar'!P11</x:f>
        <x:v>Planned</x:v>
      </x:c>
      <x:c r="F11" s="41" t="str"/>
      <x:c r="G11" s="41" t="str"/>
      <x:c r="H11" s="41" t="str"/>
      <x:c r="I11" s="43" t="n">
        <x:f>IFERROR(H11/G11,0)</x:f>
        <x:v>0</x:v>
      </x:c>
      <x:c r="J11" s="41" t="str"/>
      <x:c r="K11" s="43" t="n">
        <x:f>IFERROR(J11/H11,0)</x:f>
        <x:v>0</x:v>
      </x:c>
      <x:c r="L11" s="41" t="str"/>
      <x:c r="M11" s="41" t="str"/>
      <x:c r="N11" s="41" t="str"/>
      <x:c r="O11" s="41" t="str"/>
      <x:c r="P11" s="41" t="str"/>
    </x:row>
    <x:row r="12" ht="34" customHeight="1">
      <x:c r="A12" s="23" t="n">
        <x:v>7</x:v>
      </x:c>
      <x:c r="B12" s="35" t="n">
        <x:v>46229.666666666664</x:v>
      </x:c>
      <x:c r="C12" s="23" t="str">
        <x:v>Build note</x:v>
      </x:c>
      <x:c r="D12" s="23" t="str">
        <x:v>Founder account, YouTube Shorts</x:v>
      </x:c>
      <x:c r="E12" s="23" t="str">
        <x:f>'30-Day Calendar'!P12</x:f>
        <x:v>Planned</x:v>
      </x:c>
      <x:c r="F12" s="41" t="str"/>
      <x:c r="G12" s="41" t="str"/>
      <x:c r="H12" s="41" t="str"/>
      <x:c r="I12" s="43" t="n">
        <x:f>IFERROR(H12/G12,0)</x:f>
        <x:v>0</x:v>
      </x:c>
      <x:c r="J12" s="41" t="str"/>
      <x:c r="K12" s="43" t="n">
        <x:f>IFERROR(J12/H12,0)</x:f>
        <x:v>0</x:v>
      </x:c>
      <x:c r="L12" s="41" t="str"/>
      <x:c r="M12" s="41" t="str"/>
      <x:c r="N12" s="41" t="str"/>
      <x:c r="O12" s="41" t="str"/>
      <x:c r="P12" s="41" t="str"/>
    </x:row>
    <x:row r="13" ht="34" customHeight="1">
      <x:c r="A13" s="23" t="n">
        <x:v>8</x:v>
      </x:c>
      <x:c r="B13" s="35" t="n">
        <x:v>46230.666666666664</x:v>
      </x:c>
      <x:c r="C13" s="23" t="str">
        <x:v>Product proof</x:v>
      </x:c>
      <x:c r="D13" s="23" t="str">
        <x:v>TikTok, Instagram Reels, YouTube Shorts</x:v>
      </x:c>
      <x:c r="E13" s="23" t="str">
        <x:f>'30-Day Calendar'!P13</x:f>
        <x:v>Planned</x:v>
      </x:c>
      <x:c r="F13" s="41" t="str"/>
      <x:c r="G13" s="41" t="str"/>
      <x:c r="H13" s="41" t="str"/>
      <x:c r="I13" s="43" t="n">
        <x:f>IFERROR(H13/G13,0)</x:f>
        <x:v>0</x:v>
      </x:c>
      <x:c r="J13" s="41" t="str"/>
      <x:c r="K13" s="43" t="n">
        <x:f>IFERROR(J13/H13,0)</x:f>
        <x:v>0</x:v>
      </x:c>
      <x:c r="L13" s="41" t="str"/>
      <x:c r="M13" s="41" t="str"/>
      <x:c r="N13" s="41" t="str"/>
      <x:c r="O13" s="41" t="str"/>
      <x:c r="P13" s="41" t="str"/>
    </x:row>
    <x:row r="14" ht="34" customHeight="1">
      <x:c r="A14" s="23" t="n">
        <x:v>9</x:v>
      </x:c>
      <x:c r="B14" s="35" t="n">
        <x:v>46231.666666666664</x:v>
      </x:c>
      <x:c r="C14" s="23" t="str">
        <x:v>Academic</x:v>
      </x:c>
      <x:c r="D14" s="23" t="str">
        <x:v>Instagram carousel, YouTube Community</x:v>
      </x:c>
      <x:c r="E14" s="23" t="str">
        <x:f>'30-Day Calendar'!P14</x:f>
        <x:v>Planned</x:v>
      </x:c>
      <x:c r="F14" s="41" t="str"/>
      <x:c r="G14" s="41" t="str"/>
      <x:c r="H14" s="41" t="str"/>
      <x:c r="I14" s="43" t="n">
        <x:f>IFERROR(H14/G14,0)</x:f>
        <x:v>0</x:v>
      </x:c>
      <x:c r="J14" s="41" t="str"/>
      <x:c r="K14" s="43" t="n">
        <x:f>IFERROR(J14/H14,0)</x:f>
        <x:v>0</x:v>
      </x:c>
      <x:c r="L14" s="41" t="str"/>
      <x:c r="M14" s="41" t="str"/>
      <x:c r="N14" s="41" t="str"/>
      <x:c r="O14" s="41" t="str"/>
      <x:c r="P14" s="41" t="str"/>
    </x:row>
    <x:row r="15" ht="34" customHeight="1">
      <x:c r="A15" s="23" t="n">
        <x:v>10</x:v>
      </x:c>
      <x:c r="B15" s="35" t="n">
        <x:v>46232.666666666664</x:v>
      </x:c>
      <x:c r="C15" s="23" t="str">
        <x:v>Product proof</x:v>
      </x:c>
      <x:c r="D15" s="23" t="str">
        <x:v>YouTube, Instagram Reels</x:v>
      </x:c>
      <x:c r="E15" s="23" t="str">
        <x:f>'30-Day Calendar'!P15</x:f>
        <x:v>Planned</x:v>
      </x:c>
      <x:c r="F15" s="41" t="str"/>
      <x:c r="G15" s="41" t="str"/>
      <x:c r="H15" s="41" t="str"/>
      <x:c r="I15" s="43" t="n">
        <x:f>IFERROR(H15/G15,0)</x:f>
        <x:v>0</x:v>
      </x:c>
      <x:c r="J15" s="41" t="str"/>
      <x:c r="K15" s="43" t="n">
        <x:f>IFERROR(J15/H15,0)</x:f>
        <x:v>0</x:v>
      </x:c>
      <x:c r="L15" s="41" t="str"/>
      <x:c r="M15" s="41" t="str"/>
      <x:c r="N15" s="41" t="str"/>
      <x:c r="O15" s="41" t="str"/>
      <x:c r="P15" s="41" t="str"/>
    </x:row>
    <x:row r="16" ht="34" customHeight="1">
      <x:c r="A16" s="23" t="n">
        <x:v>11</x:v>
      </x:c>
      <x:c r="B16" s="35" t="n">
        <x:v>46233.666666666664</x:v>
      </x:c>
      <x:c r="C16" s="23" t="str">
        <x:v>Product proof</x:v>
      </x:c>
      <x:c r="D16" s="23" t="str">
        <x:v>YouTube Shorts, TikTok</x:v>
      </x:c>
      <x:c r="E16" s="23" t="str">
        <x:f>'30-Day Calendar'!P16</x:f>
        <x:v>Planned</x:v>
      </x:c>
      <x:c r="F16" s="41" t="str"/>
      <x:c r="G16" s="41" t="str"/>
      <x:c r="H16" s="41" t="str"/>
      <x:c r="I16" s="43" t="n">
        <x:f>IFERROR(H16/G16,0)</x:f>
        <x:v>0</x:v>
      </x:c>
      <x:c r="J16" s="41" t="str"/>
      <x:c r="K16" s="43" t="n">
        <x:f>IFERROR(J16/H16,0)</x:f>
        <x:v>0</x:v>
      </x:c>
      <x:c r="L16" s="41" t="str"/>
      <x:c r="M16" s="41" t="str"/>
      <x:c r="N16" s="41" t="str"/>
      <x:c r="O16" s="41" t="str"/>
      <x:c r="P16" s="41" t="str"/>
    </x:row>
    <x:row r="17" ht="34" customHeight="1">
      <x:c r="A17" s="23" t="n">
        <x:v>12</x:v>
      </x:c>
      <x:c r="B17" s="35" t="n">
        <x:v>46234.666666666664</x:v>
      </x:c>
      <x:c r="C17" s="23" t="str">
        <x:v>Participant</x:v>
      </x:c>
      <x:c r="D17" s="23" t="str">
        <x:v>Instagram carousel, Discord</x:v>
      </x:c>
      <x:c r="E17" s="23" t="str">
        <x:f>'30-Day Calendar'!P17</x:f>
        <x:v>Planned</x:v>
      </x:c>
      <x:c r="F17" s="41" t="str"/>
      <x:c r="G17" s="41" t="str"/>
      <x:c r="H17" s="41" t="str"/>
      <x:c r="I17" s="43" t="n">
        <x:f>IFERROR(H17/G17,0)</x:f>
        <x:v>0</x:v>
      </x:c>
      <x:c r="J17" s="41" t="str"/>
      <x:c r="K17" s="43" t="n">
        <x:f>IFERROR(J17/H17,0)</x:f>
        <x:v>0</x:v>
      </x:c>
      <x:c r="L17" s="41" t="str"/>
      <x:c r="M17" s="41" t="str"/>
      <x:c r="N17" s="41" t="str"/>
      <x:c r="O17" s="41" t="str"/>
      <x:c r="P17" s="41" t="str"/>
    </x:row>
    <x:row r="18" ht="34" customHeight="1">
      <x:c r="A18" s="23" t="n">
        <x:v>13</x:v>
      </x:c>
      <x:c r="B18" s="35" t="n">
        <x:v>46235.666666666664</x:v>
      </x:c>
      <x:c r="C18" s="23" t="str">
        <x:v>Academic</x:v>
      </x:c>
      <x:c r="D18" s="23" t="str">
        <x:v>YouTube</x:v>
      </x:c>
      <x:c r="E18" s="23" t="str">
        <x:f>'30-Day Calendar'!P18</x:f>
        <x:v>Planned</x:v>
      </x:c>
      <x:c r="F18" s="41" t="str"/>
      <x:c r="G18" s="41" t="str"/>
      <x:c r="H18" s="41" t="str"/>
      <x:c r="I18" s="43" t="n">
        <x:f>IFERROR(H18/G18,0)</x:f>
        <x:v>0</x:v>
      </x:c>
      <x:c r="J18" s="41" t="str"/>
      <x:c r="K18" s="43" t="n">
        <x:f>IFERROR(J18/H18,0)</x:f>
        <x:v>0</x:v>
      </x:c>
      <x:c r="L18" s="41" t="str"/>
      <x:c r="M18" s="41" t="str"/>
      <x:c r="N18" s="41" t="str"/>
      <x:c r="O18" s="41" t="str"/>
      <x:c r="P18" s="41" t="str"/>
    </x:row>
    <x:row r="19" ht="34" customHeight="1">
      <x:c r="A19" s="23" t="n">
        <x:v>14</x:v>
      </x:c>
      <x:c r="B19" s="35" t="n">
        <x:v>46236.666666666664</x:v>
      </x:c>
      <x:c r="C19" s="23" t="str">
        <x:v>Product proof</x:v>
      </x:c>
      <x:c r="D19" s="23" t="str">
        <x:v>YouTube, Instagram Reels</x:v>
      </x:c>
      <x:c r="E19" s="23" t="str">
        <x:f>'30-Day Calendar'!P19</x:f>
        <x:v>Planned</x:v>
      </x:c>
      <x:c r="F19" s="41" t="str"/>
      <x:c r="G19" s="41" t="str"/>
      <x:c r="H19" s="41" t="str"/>
      <x:c r="I19" s="43" t="n">
        <x:f>IFERROR(H19/G19,0)</x:f>
        <x:v>0</x:v>
      </x:c>
      <x:c r="J19" s="41" t="str"/>
      <x:c r="K19" s="43" t="n">
        <x:f>IFERROR(J19/H19,0)</x:f>
        <x:v>0</x:v>
      </x:c>
      <x:c r="L19" s="41" t="str"/>
      <x:c r="M19" s="41" t="str"/>
      <x:c r="N19" s="41" t="str"/>
      <x:c r="O19" s="41" t="str"/>
      <x:c r="P19" s="41" t="str"/>
    </x:row>
    <x:row r="20" ht="34" customHeight="1">
      <x:c r="A20" s="23" t="n">
        <x:v>15</x:v>
      </x:c>
      <x:c r="B20" s="35" t="n">
        <x:v>46237.666666666664</x:v>
      </x:c>
      <x:c r="C20" s="23" t="str">
        <x:v>Community ritual</x:v>
      </x:c>
      <x:c r="D20" s="23" t="str">
        <x:v>YouTube Live or prerecorded update, Instagram carousel</x:v>
      </x:c>
      <x:c r="E20" s="23" t="str">
        <x:f>'30-Day Calendar'!P20</x:f>
        <x:v>Planned</x:v>
      </x:c>
      <x:c r="F20" s="41" t="str"/>
      <x:c r="G20" s="41" t="str"/>
      <x:c r="H20" s="41" t="str"/>
      <x:c r="I20" s="43" t="n">
        <x:f>IFERROR(H20/G20,0)</x:f>
        <x:v>0</x:v>
      </x:c>
      <x:c r="J20" s="41" t="str"/>
      <x:c r="K20" s="43" t="n">
        <x:f>IFERROR(J20/H20,0)</x:f>
        <x:v>0</x:v>
      </x:c>
      <x:c r="L20" s="41" t="str"/>
      <x:c r="M20" s="41" t="str"/>
      <x:c r="N20" s="41" t="str"/>
      <x:c r="O20" s="41" t="str"/>
      <x:c r="P20" s="41" t="str"/>
    </x:row>
    <x:row r="21" ht="34" customHeight="1">
      <x:c r="A21" s="23" t="n">
        <x:v>16</x:v>
      </x:c>
      <x:c r="B21" s="35" t="n">
        <x:v>46238.666666666664</x:v>
      </x:c>
      <x:c r="C21" s="23" t="str">
        <x:v>Product proof</x:v>
      </x:c>
      <x:c r="D21" s="23" t="str">
        <x:v>YouTube Shorts, Instagram carousel</x:v>
      </x:c>
      <x:c r="E21" s="23" t="str">
        <x:f>'30-Day Calendar'!P21</x:f>
        <x:v>Planned</x:v>
      </x:c>
      <x:c r="F21" s="41" t="str"/>
      <x:c r="G21" s="41" t="str"/>
      <x:c r="H21" s="41" t="str"/>
      <x:c r="I21" s="43" t="n">
        <x:f>IFERROR(H21/G21,0)</x:f>
        <x:v>0</x:v>
      </x:c>
      <x:c r="J21" s="41" t="str"/>
      <x:c r="K21" s="43" t="n">
        <x:f>IFERROR(J21/H21,0)</x:f>
        <x:v>0</x:v>
      </x:c>
      <x:c r="L21" s="41" t="str"/>
      <x:c r="M21" s="41" t="str"/>
      <x:c r="N21" s="41" t="str"/>
      <x:c r="O21" s="41" t="str"/>
      <x:c r="P21" s="41" t="str"/>
    </x:row>
    <x:row r="22" ht="34" customHeight="1">
      <x:c r="A22" s="23" t="n">
        <x:v>17</x:v>
      </x:c>
      <x:c r="B22" s="35" t="n">
        <x:v>46239.666666666664</x:v>
      </x:c>
      <x:c r="C22" s="23" t="str">
        <x:v>Academic</x:v>
      </x:c>
      <x:c r="D22" s="23" t="str">
        <x:v>YouTube, Instagram carousel</x:v>
      </x:c>
      <x:c r="E22" s="23" t="str">
        <x:f>'30-Day Calendar'!P22</x:f>
        <x:v>Planned</x:v>
      </x:c>
      <x:c r="F22" s="41" t="str"/>
      <x:c r="G22" s="41" t="str"/>
      <x:c r="H22" s="41" t="str"/>
      <x:c r="I22" s="43" t="n">
        <x:f>IFERROR(H22/G22,0)</x:f>
        <x:v>0</x:v>
      </x:c>
      <x:c r="J22" s="41" t="str"/>
      <x:c r="K22" s="43" t="n">
        <x:f>IFERROR(J22/H22,0)</x:f>
        <x:v>0</x:v>
      </x:c>
      <x:c r="L22" s="41" t="str"/>
      <x:c r="M22" s="41" t="str"/>
      <x:c r="N22" s="41" t="str"/>
      <x:c r="O22" s="41" t="str"/>
      <x:c r="P22" s="41" t="str"/>
    </x:row>
    <x:row r="23" ht="34" customHeight="1">
      <x:c r="A23" s="23" t="n">
        <x:v>18</x:v>
      </x:c>
      <x:c r="B23" s="35" t="n">
        <x:v>46240.666666666664</x:v>
      </x:c>
      <x:c r="C23" s="23" t="str">
        <x:v>Participant</x:v>
      </x:c>
      <x:c r="D23" s="23" t="str">
        <x:v>YouTube Shorts, Instagram Reels</x:v>
      </x:c>
      <x:c r="E23" s="23" t="str">
        <x:f>'30-Day Calendar'!P23</x:f>
        <x:v>Planned</x:v>
      </x:c>
      <x:c r="F23" s="41" t="str"/>
      <x:c r="G23" s="41" t="str"/>
      <x:c r="H23" s="41" t="str"/>
      <x:c r="I23" s="43" t="n">
        <x:f>IFERROR(H23/G23,0)</x:f>
        <x:v>0</x:v>
      </x:c>
      <x:c r="J23" s="41" t="str"/>
      <x:c r="K23" s="43" t="n">
        <x:f>IFERROR(J23/H23,0)</x:f>
        <x:v>0</x:v>
      </x:c>
      <x:c r="L23" s="41" t="str"/>
      <x:c r="M23" s="41" t="str"/>
      <x:c r="N23" s="41" t="str"/>
      <x:c r="O23" s="41" t="str"/>
      <x:c r="P23" s="41" t="str"/>
    </x:row>
    <x:row r="24" ht="34" customHeight="1">
      <x:c r="A24" s="23" t="n">
        <x:v>19</x:v>
      </x:c>
      <x:c r="B24" s="35" t="n">
        <x:v>46241.666666666664</x:v>
      </x:c>
      <x:c r="C24" s="23" t="str">
        <x:v>Product proof</x:v>
      </x:c>
      <x:c r="D24" s="23" t="str">
        <x:v>Instagram carousel, YouTube</x:v>
      </x:c>
      <x:c r="E24" s="23" t="str">
        <x:f>'30-Day Calendar'!P24</x:f>
        <x:v>Planned</x:v>
      </x:c>
      <x:c r="F24" s="41" t="str"/>
      <x:c r="G24" s="41" t="str"/>
      <x:c r="H24" s="41" t="str"/>
      <x:c r="I24" s="43" t="n">
        <x:f>IFERROR(H24/G24,0)</x:f>
        <x:v>0</x:v>
      </x:c>
      <x:c r="J24" s="41" t="str"/>
      <x:c r="K24" s="43" t="n">
        <x:f>IFERROR(J24/H24,0)</x:f>
        <x:v>0</x:v>
      </x:c>
      <x:c r="L24" s="41" t="str"/>
      <x:c r="M24" s="41" t="str"/>
      <x:c r="N24" s="41" t="str"/>
      <x:c r="O24" s="41" t="str"/>
      <x:c r="P24" s="41" t="str"/>
    </x:row>
    <x:row r="25" ht="34" customHeight="1">
      <x:c r="A25" s="23" t="n">
        <x:v>20</x:v>
      </x:c>
      <x:c r="B25" s="35" t="n">
        <x:v>46242.666666666664</x:v>
      </x:c>
      <x:c r="C25" s="23" t="str">
        <x:v>Product proof</x:v>
      </x:c>
      <x:c r="D25" s="23" t="str">
        <x:v>YouTube Shorts, TikTok</x:v>
      </x:c>
      <x:c r="E25" s="23" t="str">
        <x:f>'30-Day Calendar'!P25</x:f>
        <x:v>Planned</x:v>
      </x:c>
      <x:c r="F25" s="41" t="str"/>
      <x:c r="G25" s="41" t="str"/>
      <x:c r="H25" s="41" t="str"/>
      <x:c r="I25" s="43" t="n">
        <x:f>IFERROR(H25/G25,0)</x:f>
        <x:v>0</x:v>
      </x:c>
      <x:c r="J25" s="41" t="str"/>
      <x:c r="K25" s="43" t="n">
        <x:f>IFERROR(J25/H25,0)</x:f>
        <x:v>0</x:v>
      </x:c>
      <x:c r="L25" s="41" t="str"/>
      <x:c r="M25" s="41" t="str"/>
      <x:c r="N25" s="41" t="str"/>
      <x:c r="O25" s="41" t="str"/>
      <x:c r="P25" s="41" t="str"/>
    </x:row>
    <x:row r="26" ht="34" customHeight="1">
      <x:c r="A26" s="23" t="n">
        <x:v>21</x:v>
      </x:c>
      <x:c r="B26" s="35" t="n">
        <x:v>46243.666666666664</x:v>
      </x:c>
      <x:c r="C26" s="23" t="str">
        <x:v>Academic</x:v>
      </x:c>
      <x:c r="D26" s="23" t="str">
        <x:v>YouTube, Instagram carousel</x:v>
      </x:c>
      <x:c r="E26" s="23" t="str">
        <x:f>'30-Day Calendar'!P26</x:f>
        <x:v>Planned</x:v>
      </x:c>
      <x:c r="F26" s="41" t="str"/>
      <x:c r="G26" s="41" t="str"/>
      <x:c r="H26" s="41" t="str"/>
      <x:c r="I26" s="43" t="n">
        <x:f>IFERROR(H26/G26,0)</x:f>
        <x:v>0</x:v>
      </x:c>
      <x:c r="J26" s="41" t="str"/>
      <x:c r="K26" s="43" t="n">
        <x:f>IFERROR(J26/H26,0)</x:f>
        <x:v>0</x:v>
      </x:c>
      <x:c r="L26" s="41" t="str"/>
      <x:c r="M26" s="41" t="str"/>
      <x:c r="N26" s="41" t="str"/>
      <x:c r="O26" s="41" t="str"/>
      <x:c r="P26" s="41" t="str"/>
    </x:row>
    <x:row r="27" ht="34" customHeight="1">
      <x:c r="A27" s="23" t="n">
        <x:v>22</x:v>
      </x:c>
      <x:c r="B27" s="35" t="n">
        <x:v>46244.666666666664</x:v>
      </x:c>
      <x:c r="C27" s="23" t="str">
        <x:v>Build note</x:v>
      </x:c>
      <x:c r="D27" s="23" t="str">
        <x:v>Founder account, YouTube</x:v>
      </x:c>
      <x:c r="E27" s="23" t="str">
        <x:f>'30-Day Calendar'!P27</x:f>
        <x:v>Planned</x:v>
      </x:c>
      <x:c r="F27" s="41" t="str"/>
      <x:c r="G27" s="41" t="str"/>
      <x:c r="H27" s="41" t="str"/>
      <x:c r="I27" s="43" t="n">
        <x:f>IFERROR(H27/G27,0)</x:f>
        <x:v>0</x:v>
      </x:c>
      <x:c r="J27" s="41" t="str"/>
      <x:c r="K27" s="43" t="n">
        <x:f>IFERROR(J27/H27,0)</x:f>
        <x:v>0</x:v>
      </x:c>
      <x:c r="L27" s="41" t="str"/>
      <x:c r="M27" s="41" t="str"/>
      <x:c r="N27" s="41" t="str"/>
      <x:c r="O27" s="41" t="str"/>
      <x:c r="P27" s="41" t="str"/>
    </x:row>
    <x:row r="28" ht="34" customHeight="1">
      <x:c r="A28" s="23" t="n">
        <x:v>23</x:v>
      </x:c>
      <x:c r="B28" s="35" t="n">
        <x:v>46245.666666666664</x:v>
      </x:c>
      <x:c r="C28" s="23" t="str">
        <x:v>Product proof</x:v>
      </x:c>
      <x:c r="D28" s="23" t="str">
        <x:v>Blue Radio, YouTube Shorts, Instagram Reels</x:v>
      </x:c>
      <x:c r="E28" s="23" t="str">
        <x:f>'30-Day Calendar'!P28</x:f>
        <x:v>Planned</x:v>
      </x:c>
      <x:c r="F28" s="41" t="str"/>
      <x:c r="G28" s="41" t="str"/>
      <x:c r="H28" s="41" t="str"/>
      <x:c r="I28" s="43" t="n">
        <x:f>IFERROR(H28/G28,0)</x:f>
        <x:v>0</x:v>
      </x:c>
      <x:c r="J28" s="41" t="str"/>
      <x:c r="K28" s="43" t="n">
        <x:f>IFERROR(J28/H28,0)</x:f>
        <x:v>0</x:v>
      </x:c>
      <x:c r="L28" s="41" t="str"/>
      <x:c r="M28" s="41" t="str"/>
      <x:c r="N28" s="41" t="str"/>
      <x:c r="O28" s="41" t="str"/>
      <x:c r="P28" s="41" t="str"/>
    </x:row>
    <x:row r="29" ht="34" customHeight="1">
      <x:c r="A29" s="23" t="n">
        <x:v>24</x:v>
      </x:c>
      <x:c r="B29" s="35" t="n">
        <x:v>46246.666666666664</x:v>
      </x:c>
      <x:c r="C29" s="23" t="str">
        <x:v>Academic</x:v>
      </x:c>
      <x:c r="D29" s="23" t="str">
        <x:v>Instagram carousel, YouTube</x:v>
      </x:c>
      <x:c r="E29" s="23" t="str">
        <x:f>'30-Day Calendar'!P29</x:f>
        <x:v>Planned</x:v>
      </x:c>
      <x:c r="F29" s="41" t="str"/>
      <x:c r="G29" s="41" t="str"/>
      <x:c r="H29" s="41" t="str"/>
      <x:c r="I29" s="43" t="n">
        <x:f>IFERROR(H29/G29,0)</x:f>
        <x:v>0</x:v>
      </x:c>
      <x:c r="J29" s="41" t="str"/>
      <x:c r="K29" s="43" t="n">
        <x:f>IFERROR(J29/H29,0)</x:f>
        <x:v>0</x:v>
      </x:c>
      <x:c r="L29" s="41" t="str"/>
      <x:c r="M29" s="41" t="str"/>
      <x:c r="N29" s="41" t="str"/>
      <x:c r="O29" s="41" t="str"/>
      <x:c r="P29" s="41" t="str"/>
    </x:row>
    <x:row r="30" ht="34" customHeight="1">
      <x:c r="A30" s="23" t="n">
        <x:v>25</x:v>
      </x:c>
      <x:c r="B30" s="35" t="n">
        <x:v>46247.666666666664</x:v>
      </x:c>
      <x:c r="C30" s="23" t="str">
        <x:v>Participant</x:v>
      </x:c>
      <x:c r="D30" s="23" t="str">
        <x:v>YouTube, Instagram carousel</x:v>
      </x:c>
      <x:c r="E30" s="23" t="str">
        <x:f>'30-Day Calendar'!P30</x:f>
        <x:v>Planned</x:v>
      </x:c>
      <x:c r="F30" s="41" t="str"/>
      <x:c r="G30" s="41" t="str"/>
      <x:c r="H30" s="41" t="str"/>
      <x:c r="I30" s="43" t="n">
        <x:f>IFERROR(H30/G30,0)</x:f>
        <x:v>0</x:v>
      </x:c>
      <x:c r="J30" s="41" t="str"/>
      <x:c r="K30" s="43" t="n">
        <x:f>IFERROR(J30/H30,0)</x:f>
        <x:v>0</x:v>
      </x:c>
      <x:c r="L30" s="41" t="str"/>
      <x:c r="M30" s="41" t="str"/>
      <x:c r="N30" s="41" t="str"/>
      <x:c r="O30" s="41" t="str"/>
      <x:c r="P30" s="41" t="str"/>
    </x:row>
    <x:row r="31" ht="34" customHeight="1">
      <x:c r="A31" s="23" t="n">
        <x:v>26</x:v>
      </x:c>
      <x:c r="B31" s="35" t="n">
        <x:v>46248.666666666664</x:v>
      </x:c>
      <x:c r="C31" s="23" t="str">
        <x:v>Product proof</x:v>
      </x:c>
      <x:c r="D31" s="23" t="str">
        <x:v>YouTube Shorts, TikTok, Instagram Reels</x:v>
      </x:c>
      <x:c r="E31" s="23" t="str">
        <x:f>'30-Day Calendar'!P31</x:f>
        <x:v>Planned</x:v>
      </x:c>
      <x:c r="F31" s="41" t="str"/>
      <x:c r="G31" s="41" t="str"/>
      <x:c r="H31" s="41" t="str"/>
      <x:c r="I31" s="43" t="n">
        <x:f>IFERROR(H31/G31,0)</x:f>
        <x:v>0</x:v>
      </x:c>
      <x:c r="J31" s="41" t="str"/>
      <x:c r="K31" s="43" t="n">
        <x:f>IFERROR(J31/H31,0)</x:f>
        <x:v>0</x:v>
      </x:c>
      <x:c r="L31" s="41" t="str"/>
      <x:c r="M31" s="41" t="str"/>
      <x:c r="N31" s="41" t="str"/>
      <x:c r="O31" s="41" t="str"/>
      <x:c r="P31" s="41" t="str"/>
    </x:row>
    <x:row r="32" ht="34" customHeight="1">
      <x:c r="A32" s="23" t="n">
        <x:v>27</x:v>
      </x:c>
      <x:c r="B32" s="35" t="n">
        <x:v>46249.666666666664</x:v>
      </x:c>
      <x:c r="C32" s="23" t="str">
        <x:v>Academic</x:v>
      </x:c>
      <x:c r="D32" s="23" t="str">
        <x:v>Instagram carousel, YouTube Shorts</x:v>
      </x:c>
      <x:c r="E32" s="23" t="str">
        <x:f>'30-Day Calendar'!P32</x:f>
        <x:v>Planned</x:v>
      </x:c>
      <x:c r="F32" s="41" t="str"/>
      <x:c r="G32" s="41" t="str"/>
      <x:c r="H32" s="41" t="str"/>
      <x:c r="I32" s="43" t="n">
        <x:f>IFERROR(H32/G32,0)</x:f>
        <x:v>0</x:v>
      </x:c>
      <x:c r="J32" s="41" t="str"/>
      <x:c r="K32" s="43" t="n">
        <x:f>IFERROR(J32/H32,0)</x:f>
        <x:v>0</x:v>
      </x:c>
      <x:c r="L32" s="41" t="str"/>
      <x:c r="M32" s="41" t="str"/>
      <x:c r="N32" s="41" t="str"/>
      <x:c r="O32" s="41" t="str"/>
      <x:c r="P32" s="41" t="str"/>
    </x:row>
    <x:row r="33" ht="34" customHeight="1">
      <x:c r="A33" s="23" t="n">
        <x:v>28</x:v>
      </x:c>
      <x:c r="B33" s="35" t="n">
        <x:v>46250.666666666664</x:v>
      </x:c>
      <x:c r="C33" s="23" t="str">
        <x:v>Product proof</x:v>
      </x:c>
      <x:c r="D33" s="23" t="str">
        <x:v>YouTube, Instagram Reels</x:v>
      </x:c>
      <x:c r="E33" s="23" t="str">
        <x:f>'30-Day Calendar'!P33</x:f>
        <x:v>Planned</x:v>
      </x:c>
      <x:c r="F33" s="41" t="str"/>
      <x:c r="G33" s="41" t="str"/>
      <x:c r="H33" s="41" t="str"/>
      <x:c r="I33" s="43" t="n">
        <x:f>IFERROR(H33/G33,0)</x:f>
        <x:v>0</x:v>
      </x:c>
      <x:c r="J33" s="41" t="str"/>
      <x:c r="K33" s="43" t="n">
        <x:f>IFERROR(J33/H33,0)</x:f>
        <x:v>0</x:v>
      </x:c>
      <x:c r="L33" s="41" t="str"/>
      <x:c r="M33" s="41" t="str"/>
      <x:c r="N33" s="41" t="str"/>
      <x:c r="O33" s="41" t="str"/>
      <x:c r="P33" s="41" t="str"/>
    </x:row>
    <x:row r="34" ht="34" customHeight="1">
      <x:c r="A34" s="23" t="n">
        <x:v>29</x:v>
      </x:c>
      <x:c r="B34" s="35" t="n">
        <x:v>46251.666666666664</x:v>
      </x:c>
      <x:c r="C34" s="23" t="str">
        <x:v>Participant</x:v>
      </x:c>
      <x:c r="D34" s="23" t="str">
        <x:v>Founder account, YouTube Shorts</x:v>
      </x:c>
      <x:c r="E34" s="23" t="str">
        <x:f>'30-Day Calendar'!P34</x:f>
        <x:v>Planned</x:v>
      </x:c>
      <x:c r="F34" s="41" t="str"/>
      <x:c r="G34" s="41" t="str"/>
      <x:c r="H34" s="41" t="str"/>
      <x:c r="I34" s="43" t="n">
        <x:f>IFERROR(H34/G34,0)</x:f>
        <x:v>0</x:v>
      </x:c>
      <x:c r="J34" s="41" t="str"/>
      <x:c r="K34" s="43" t="n">
        <x:f>IFERROR(J34/H34,0)</x:f>
        <x:v>0</x:v>
      </x:c>
      <x:c r="L34" s="41" t="str"/>
      <x:c r="M34" s="41" t="str"/>
      <x:c r="N34" s="41" t="str"/>
      <x:c r="O34" s="41" t="str"/>
      <x:c r="P34" s="41" t="str"/>
    </x:row>
    <x:row r="35" ht="34" customHeight="1">
      <x:c r="A35" s="23" t="n">
        <x:v>30</x:v>
      </x:c>
      <x:c r="B35" s="35" t="n">
        <x:v>46252.666666666664</x:v>
      </x:c>
      <x:c r="C35" s="23" t="str">
        <x:v>Community ritual</x:v>
      </x:c>
      <x:c r="D35" s="23" t="str">
        <x:v>YouTube, Instagram carousel, Discord</x:v>
      </x:c>
      <x:c r="E35" s="23" t="str">
        <x:f>'30-Day Calendar'!P35</x:f>
        <x:v>Planned</x:v>
      </x:c>
      <x:c r="F35" s="41" t="str"/>
      <x:c r="G35" s="41" t="str"/>
      <x:c r="H35" s="41" t="str"/>
      <x:c r="I35" s="43" t="n">
        <x:f>IFERROR(H35/G35,0)</x:f>
        <x:v>0</x:v>
      </x:c>
      <x:c r="J35" s="41" t="str"/>
      <x:c r="K35" s="43" t="n">
        <x:f>IFERROR(J35/H35,0)</x:f>
        <x:v>0</x:v>
      </x:c>
      <x:c r="L35" s="41" t="str"/>
      <x:c r="M35" s="41" t="str"/>
      <x:c r="N35" s="41" t="str"/>
      <x:c r="O35" s="41" t="str"/>
      <x:c r="P35" s="41" t="str"/>
    </x:row>
  </x:sheetData>
  <x:mergeCells>
    <x:mergeCell ref="A1:P1"/>
    <x:mergeCell ref="A2:P2"/>
  </x:mergeCells>
  <x:conditionalFormatting sqref="I6:I35">
    <x:cfRule type="colorScale" priority="1">
      <x:colorScale>
        <x:cfvo type="min"/>
        <x:cfvo type="percentile" val="50"/>
        <x:cfvo type="max"/>
        <x:color rgb="FFFDEBEC"/>
        <x:color rgb="FFFFF5D6"/>
        <x:color rgb="FFE8F6EF"/>
      </x:colorScale>
    </x:cfRule>
  </x:conditionalFormatting>
  <x:conditionalFormatting sqref="K6:K35">
    <x:cfRule type="colorScale" priority="2">
      <x:colorScale>
        <x:cfvo type="min"/>
        <x:cfvo type="percentile" val="50"/>
        <x:cfvo type="max"/>
        <x:color rgb="FFFDEBEC"/>
        <x:color rgb="FFFFF5D6"/>
        <x:color rgb="FFE8F6EF"/>
      </x:colorScale>
    </x:cfRule>
  </x:conditionalFormatting>
  <x:pageMargins left="0.7" right="0.7" top="0.75" bottom="0.75" header="0.3" footer="0.3"/>
  <x:tableParts count="1">
    <x:tablePart xmlns:r="http://schemas.openxmlformats.org/officeDocument/2006/relationships" r:id="Rb0c70bbe8cd24325"/>
  </x:tableParts>
</x:worksheet>
</file>

<file path=xl/worksheets/sheet5.xml><?xml version="1.0" encoding="utf-8"?>
<x:worksheet xmlns:x="http://schemas.openxmlformats.org/spreadsheetml/2006/main">
  <x:sheetViews>
    <x:sheetView showGridLines="0" workbookViewId="0"/>
  </x:sheetViews>
  <x:sheetFormatPr defaultRowHeight="15"/>
  <x:cols>
    <x:col min="1" max="1" width="6" hidden="0" customWidth="1"/>
    <x:col min="2" max="2" width="12" hidden="0" customWidth="1"/>
    <x:col min="3" max="3" width="17" hidden="0" customWidth="1"/>
    <x:col min="4" max="4" width="20" hidden="0" customWidth="1"/>
    <x:col min="5" max="5" width="17" hidden="0" customWidth="1"/>
    <x:col min="6" max="6" width="18" hidden="0" customWidth="1"/>
    <x:col min="7" max="7" width="20" hidden="0" customWidth="1"/>
    <x:col min="8" max="8" width="16" hidden="0" customWidth="1"/>
    <x:col min="9" max="9" width="16" hidden="0" customWidth="1"/>
    <x:col min="10" max="10" width="62" hidden="0" customWidth="1"/>
  </x:cols>
  <x:sheetData>
    <x:row r="1" ht="34" customHeight="1">
      <x:c r="A1" s="4" t="str">
        <x:v>Publication Preflight</x:v>
      </x:c>
      <x:c r="B1" s="4"/>
      <x:c r="C1" s="4"/>
      <x:c r="D1" s="4"/>
      <x:c r="E1" s="4"/>
      <x:c r="F1" s="4"/>
      <x:c r="G1" s="4"/>
      <x:c r="H1" s="4"/>
      <x:c r="I1" s="4"/>
      <x:c r="J1" s="4"/>
    </x:row>
    <x:row r="2" ht="30" customHeight="1">
      <x:c r="A2" s="8" t="str">
        <x:v>A date never clears a hold. Mark each required check before scheduling; use an evergreen replacement when a row cannot clear safely.</x:v>
      </x:c>
      <x:c r="B2" s="8"/>
      <x:c r="C2" s="8"/>
      <x:c r="D2" s="8"/>
      <x:c r="E2" s="8"/>
      <x:c r="F2" s="8"/>
      <x:c r="G2" s="8"/>
      <x:c r="H2" s="8"/>
      <x:c r="I2" s="8"/>
      <x:c r="J2" s="8"/>
    </x:row>
    <x:row r="5" ht="34" customHeight="1">
      <x:c r="A5" s="13" t="str">
        <x:v>Day</x:v>
      </x:c>
      <x:c r="B5" s="13" t="str">
        <x:v>Date</x:v>
      </x:c>
      <x:c r="C5" s="13" t="str">
        <x:v>Source Opened</x:v>
      </x:c>
      <x:c r="D5" s="13" t="str">
        <x:v>Product Route Tested</x:v>
      </x:c>
      <x:c r="E5" s="13" t="str">
        <x:v>Consent Stored</x:v>
      </x:c>
      <x:c r="F5" s="13" t="str">
        <x:v>Disclosure Added</x:v>
      </x:c>
      <x:c r="G5" s="13" t="str">
        <x:v>Metric Instrumented</x:v>
      </x:c>
      <x:c r="H5" s="13" t="str">
        <x:v>Hold Cleared</x:v>
      </x:c>
      <x:c r="I5" s="13" t="str">
        <x:v>Fallback Ready</x:v>
      </x:c>
      <x:c r="J5" s="13" t="str">
        <x:v>Reviewer Notes</x:v>
      </x:c>
    </x:row>
    <x:row r="6" ht="58" customHeight="1">
      <x:c r="A6" s="22" t="n">
        <x:v>1</x:v>
      </x:c>
      <x:c r="B6" s="34" t="n">
        <x:v>46223.666666666664</x:v>
      </x:c>
      <x:c r="C6" s="40" t="str">
        <x:v>No</x:v>
      </x:c>
      <x:c r="D6" s="40" t="str">
        <x:v>No</x:v>
      </x:c>
      <x:c r="E6" s="40" t="str">
        <x:v>N/A</x:v>
      </x:c>
      <x:c r="F6" s="40" t="str">
        <x:v>No</x:v>
      </x:c>
      <x:c r="G6" s="40" t="str">
        <x:v>No</x:v>
      </x:c>
      <x:c r="H6" s="40" t="str">
        <x:v>No</x:v>
      </x:c>
      <x:c r="I6" s="40" t="str">
        <x:v>No</x:v>
      </x:c>
      <x:c r="J6" s="22" t="str">
        <x:v>Before posting, set a written weekly selection limit. Do not promise that every question will be answered.</x:v>
      </x:c>
    </x:row>
    <x:row r="7" ht="58" customHeight="1">
      <x:c r="A7" s="23" t="n">
        <x:v>2</x:v>
      </x:c>
      <x:c r="B7" s="35" t="n">
        <x:v>46224.666666666664</x:v>
      </x:c>
      <x:c r="C7" s="41" t="str">
        <x:v>No</x:v>
      </x:c>
      <x:c r="D7" s="41" t="str">
        <x:v>No</x:v>
      </x:c>
      <x:c r="E7" s="41" t="str">
        <x:v>N/A</x:v>
      </x:c>
      <x:c r="F7" s="41" t="str">
        <x:v>No</x:v>
      </x:c>
      <x:c r="G7" s="41" t="str">
        <x:v>No</x:v>
      </x:c>
      <x:c r="H7" s="41" t="str">
        <x:v>No</x:v>
      </x:c>
      <x:c r="I7" s="41" t="str">
        <x:v>No</x:v>
      </x:c>
      <x:c r="J7" s="23" t="str">
        <x:v>Present this as a reflection practice, not a clinical outcome or financial measure.</x:v>
      </x:c>
    </x:row>
    <x:row r="8" ht="58" customHeight="1">
      <x:c r="A8" s="23" t="n">
        <x:v>3</x:v>
      </x:c>
      <x:c r="B8" s="35" t="n">
        <x:v>46225.666666666664</x:v>
      </x:c>
      <x:c r="C8" s="41" t="str">
        <x:v>No</x:v>
      </x:c>
      <x:c r="D8" s="41" t="str">
        <x:v>No</x:v>
      </x:c>
      <x:c r="E8" s="41" t="str">
        <x:v>N/A</x:v>
      </x:c>
      <x:c r="F8" s="41" t="str">
        <x:v>No</x:v>
      </x:c>
      <x:c r="G8" s="41" t="str">
        <x:v>No</x:v>
      </x:c>
      <x:c r="H8" s="41" t="str">
        <x:v>No</x:v>
      </x:c>
      <x:c r="I8" s="41" t="str">
        <x:v>No</x:v>
      </x:c>
      <x:c r="J8" s="23" t="str">
        <x:v>Label the current episode prerecorded. Avoid live tutor, interactive stream, personalized educator, and 24 hours of unique programming.</x:v>
      </x:c>
    </x:row>
    <x:row r="9" ht="58" customHeight="1">
      <x:c r="A9" s="23" t="n">
        <x:v>4</x:v>
      </x:c>
      <x:c r="B9" s="35" t="n">
        <x:v>46226.666666666664</x:v>
      </x:c>
      <x:c r="C9" s="41" t="str">
        <x:v>No</x:v>
      </x:c>
      <x:c r="D9" s="41" t="str">
        <x:v>No</x:v>
      </x:c>
      <x:c r="E9" s="41" t="str">
        <x:v>N/A</x:v>
      </x:c>
      <x:c r="F9" s="41" t="str">
        <x:v>No</x:v>
      </x:c>
      <x:c r="G9" s="41" t="str">
        <x:v>No</x:v>
      </x:c>
      <x:c r="H9" s="41" t="str">
        <x:v>No</x:v>
      </x:c>
      <x:c r="I9" s="41" t="str">
        <x:v>No</x:v>
      </x:c>
      <x:c r="J9" s="23" t="str">
        <x:v>Say 'each published topic has one canonical guide.' Do not claim every topic is verified or reviewed by PhD students.</x:v>
      </x:c>
    </x:row>
    <x:row r="10" ht="58" customHeight="1">
      <x:c r="A10" s="23" t="n">
        <x:v>5</x:v>
      </x:c>
      <x:c r="B10" s="35" t="n">
        <x:v>46227.666666666664</x:v>
      </x:c>
      <x:c r="C10" s="41" t="str">
        <x:v>No</x:v>
      </x:c>
      <x:c r="D10" s="41" t="str">
        <x:v>No</x:v>
      </x:c>
      <x:c r="E10" s="41" t="str">
        <x:v>N/A</x:v>
      </x:c>
      <x:c r="F10" s="41" t="str">
        <x:v>No</x:v>
      </x:c>
      <x:c r="G10" s="41" t="str">
        <x:v>No</x:v>
      </x:c>
      <x:c r="H10" s="41" t="str">
        <x:v>No</x:v>
      </x:c>
      <x:c r="I10" s="41" t="str">
        <x:v>No</x:v>
      </x:c>
      <x:c r="J10" s="23" t="str">
        <x:v>Describe U.S. FTC staff guidance accurately. Avoid giving legal advice or accusing a named company without case-specific evidence.</x:v>
      </x:c>
    </x:row>
    <x:row r="11" ht="58" customHeight="1">
      <x:c r="A11" s="23" t="n">
        <x:v>6</x:v>
      </x:c>
      <x:c r="B11" s="35" t="n">
        <x:v>46228.666666666664</x:v>
      </x:c>
      <x:c r="C11" s="41" t="str">
        <x:v>No</x:v>
      </x:c>
      <x:c r="D11" s="41" t="str">
        <x:v>No</x:v>
      </x:c>
      <x:c r="E11" s="41" t="str">
        <x:v>No</x:v>
      </x:c>
      <x:c r="F11" s="41" t="str">
        <x:v>No</x:v>
      </x:c>
      <x:c r="G11" s="41" t="str">
        <x:v>No</x:v>
      </x:c>
      <x:c r="H11" s="41" t="str">
        <x:v>No</x:v>
      </x:c>
      <x:c r="I11" s="41" t="str">
        <x:v>No</x:v>
      </x:c>
      <x:c r="J11" s="23" t="str">
        <x:v>Hold until the dated founder field note and the clip test it proposes are stored. Use only James's own writing unless another participant gives explicit permission.</x:v>
      </x:c>
    </x:row>
    <x:row r="12" ht="58" customHeight="1">
      <x:c r="A12" s="23" t="n">
        <x:v>7</x:v>
      </x:c>
      <x:c r="B12" s="35" t="n">
        <x:v>46229.666666666664</x:v>
      </x:c>
      <x:c r="C12" s="41" t="str">
        <x:v>No</x:v>
      </x:c>
      <x:c r="D12" s="41" t="str">
        <x:v>No</x:v>
      </x:c>
      <x:c r="E12" s="41" t="str">
        <x:v>N/A</x:v>
      </x:c>
      <x:c r="F12" s="41" t="str">
        <x:v>No</x:v>
      </x:c>
      <x:c r="G12" s="41" t="str">
        <x:v>No</x:v>
      </x:c>
      <x:c r="H12" s="41" t="str">
        <x:v>No</x:v>
      </x:c>
      <x:c r="I12" s="41" t="str">
        <x:v>No</x:v>
      </x:c>
      <x:c r="J12" s="23" t="str">
        <x:v>Do not imply the 19% figure is a sixth-grade reading level or a 2026 estimate.</x:v>
      </x:c>
    </x:row>
    <x:row r="13" ht="58" customHeight="1">
      <x:c r="A13" s="23" t="n">
        <x:v>8</x:v>
      </x:c>
      <x:c r="B13" s="35" t="n">
        <x:v>46230.666666666664</x:v>
      </x:c>
      <x:c r="C13" s="41" t="str">
        <x:v>No</x:v>
      </x:c>
      <x:c r="D13" s="41" t="str">
        <x:v>No</x:v>
      </x:c>
      <x:c r="E13" s="41" t="str">
        <x:v>N/A</x:v>
      </x:c>
      <x:c r="F13" s="41" t="str">
        <x:v>No</x:v>
      </x:c>
      <x:c r="G13" s="41" t="str">
        <x:v>No</x:v>
      </x:c>
      <x:c r="H13" s="41" t="str">
        <x:v>No</x:v>
      </x:c>
      <x:c r="I13" s="41" t="str">
        <x:v>No</x:v>
      </x:c>
      <x:c r="J13" s="23" t="str">
        <x:v>Say roughly the same moment. Network and playback conditions can create small differences.</x:v>
      </x:c>
    </x:row>
    <x:row r="14" ht="58" customHeight="1">
      <x:c r="A14" s="23" t="n">
        <x:v>9</x:v>
      </x:c>
      <x:c r="B14" s="35" t="n">
        <x:v>46231.666666666664</x:v>
      </x:c>
      <x:c r="C14" s="41" t="str">
        <x:v>No</x:v>
      </x:c>
      <x:c r="D14" s="41" t="str">
        <x:v>No</x:v>
      </x:c>
      <x:c r="E14" s="41" t="str">
        <x:v>N/A</x:v>
      </x:c>
      <x:c r="F14" s="41" t="str">
        <x:v>No</x:v>
      </x:c>
      <x:c r="G14" s="41" t="str">
        <x:v>No</x:v>
      </x:c>
      <x:c r="H14" s="41" t="str">
        <x:v>No</x:v>
      </x:c>
      <x:c r="I14" s="41" t="str">
        <x:v>No</x:v>
      </x:c>
      <x:c r="J14" s="23" t="str">
        <x:v>Do not relabel ages 18–29 as ages 18–25. Include the survey year and 'ever use' definition.</x:v>
      </x:c>
    </x:row>
    <x:row r="15" ht="58" customHeight="1">
      <x:c r="A15" s="23" t="n">
        <x:v>10</x:v>
      </x:c>
      <x:c r="B15" s="35" t="n">
        <x:v>46232.666666666664</x:v>
      </x:c>
      <x:c r="C15" s="41" t="str">
        <x:v>No</x:v>
      </x:c>
      <x:c r="D15" s="41" t="str">
        <x:v>No</x:v>
      </x:c>
      <x:c r="E15" s="41" t="str">
        <x:v>N/A</x:v>
      </x:c>
      <x:c r="F15" s="41" t="str">
        <x:v>No</x:v>
      </x:c>
      <x:c r="G15" s="41" t="str">
        <x:v>No</x:v>
      </x:c>
      <x:c r="H15" s="41" t="str">
        <x:v>No</x:v>
      </x:c>
      <x:c r="I15" s="41" t="str">
        <x:v>No</x:v>
      </x:c>
      <x:c r="J15" s="23" t="str">
        <x:v>Describe a reflection practice, not treatment. Add care-routing language when the topic involves trauma or crisis.</x:v>
      </x:c>
    </x:row>
    <x:row r="16" ht="58" customHeight="1">
      <x:c r="A16" s="23" t="n">
        <x:v>11</x:v>
      </x:c>
      <x:c r="B16" s="35" t="n">
        <x:v>46233.666666666664</x:v>
      </x:c>
      <x:c r="C16" s="41" t="str">
        <x:v>No</x:v>
      </x:c>
      <x:c r="D16" s="41" t="str">
        <x:v>No</x:v>
      </x:c>
      <x:c r="E16" s="41" t="str">
        <x:v>N/A</x:v>
      </x:c>
      <x:c r="F16" s="41" t="str">
        <x:v>No</x:v>
      </x:c>
      <x:c r="G16" s="41" t="str">
        <x:v>No</x:v>
      </x:c>
      <x:c r="H16" s="41" t="str">
        <x:v>No</x:v>
      </x:c>
      <x:c r="I16" s="41" t="str">
        <x:v>No</x:v>
      </x:c>
      <x:c r="J16" s="23" t="str">
        <x:v>Do not claim Blue reads field-note meaning to generate a personalized curriculum. The current recommendation uses recorded guide completions.</x:v>
      </x:c>
    </x:row>
    <x:row r="17" ht="58" customHeight="1">
      <x:c r="A17" s="23" t="n">
        <x:v>12</x:v>
      </x:c>
      <x:c r="B17" s="35" t="n">
        <x:v>46234.666666666664</x:v>
      </x:c>
      <x:c r="C17" s="41" t="str">
        <x:v>No</x:v>
      </x:c>
      <x:c r="D17" s="41" t="str">
        <x:v>No</x:v>
      </x:c>
      <x:c r="E17" s="41" t="str">
        <x:v>No</x:v>
      </x:c>
      <x:c r="F17" s="41" t="str">
        <x:v>No</x:v>
      </x:c>
      <x:c r="G17" s="41" t="str">
        <x:v>No</x:v>
      </x:c>
      <x:c r="H17" s="41" t="str">
        <x:v>No</x:v>
      </x:c>
      <x:c r="I17" s="41" t="str">
        <x:v>No</x:v>
      </x:c>
      <x:c r="J17" s="23" t="str">
        <x:v>Hold until the dated revision, attribution preference, and permission are documented. If using a founder-owned revision, rewrite the caption in first person and identify it as founder work.</x:v>
      </x:c>
    </x:row>
    <x:row r="18" ht="58" customHeight="1">
      <x:c r="A18" s="23" t="n">
        <x:v>13</x:v>
      </x:c>
      <x:c r="B18" s="35" t="n">
        <x:v>46235.666666666664</x:v>
      </x:c>
      <x:c r="C18" s="41" t="str">
        <x:v>No</x:v>
      </x:c>
      <x:c r="D18" s="41" t="str">
        <x:v>No</x:v>
      </x:c>
      <x:c r="E18" s="41" t="str">
        <x:v>N/A</x:v>
      </x:c>
      <x:c r="F18" s="41" t="str">
        <x:v>No</x:v>
      </x:c>
      <x:c r="G18" s="41" t="str">
        <x:v>No</x:v>
      </x:c>
      <x:c r="H18" s="41" t="str">
        <x:v>No</x:v>
      </x:c>
      <x:c r="I18" s="41" t="str">
        <x:v>No</x:v>
      </x:c>
      <x:c r="J18" s="23" t="str">
        <x:v>State the sample size and software-learning context. Present the layered interface as a test, not a universal rule.</x:v>
      </x:c>
    </x:row>
    <x:row r="19" ht="58" customHeight="1">
      <x:c r="A19" s="23" t="n">
        <x:v>14</x:v>
      </x:c>
      <x:c r="B19" s="35" t="n">
        <x:v>46236.666666666664</x:v>
      </x:c>
      <x:c r="C19" s="41" t="str">
        <x:v>No</x:v>
      </x:c>
      <x:c r="D19" s="41" t="str">
        <x:v>No</x:v>
      </x:c>
      <x:c r="E19" s="41" t="str">
        <x:v>N/A</x:v>
      </x:c>
      <x:c r="F19" s="41" t="str">
        <x:v>No</x:v>
      </x:c>
      <x:c r="G19" s="41" t="str">
        <x:v>No</x:v>
      </x:c>
      <x:c r="H19" s="41" t="str">
        <x:v>No</x:v>
      </x:c>
      <x:c r="I19" s="41" t="str">
        <x:v>No</x:v>
      </x:c>
      <x:c r="J19" s="23" t="str">
        <x:v>Hold until the demonstrated production mission is confirmed open with unchanged completion criteria. If none is available, use a clearly labeled demo mission and remove any reward amount.</x:v>
      </x:c>
    </x:row>
    <x:row r="20" ht="58" customHeight="1">
      <x:c r="A20" s="23" t="n">
        <x:v>15</x:v>
      </x:c>
      <x:c r="B20" s="35" t="n">
        <x:v>46237.666666666664</x:v>
      </x:c>
      <x:c r="C20" s="41" t="str">
        <x:v>No</x:v>
      </x:c>
      <x:c r="D20" s="41" t="str">
        <x:v>No</x:v>
      </x:c>
      <x:c r="E20" s="41" t="str">
        <x:v>N/A</x:v>
      </x:c>
      <x:c r="F20" s="41" t="str">
        <x:v>No</x:v>
      </x:c>
      <x:c r="G20" s="41" t="str">
        <x:v>No</x:v>
      </x:c>
      <x:c r="H20" s="41" t="str">
        <x:v>No</x:v>
      </x:c>
      <x:c r="I20" s="41" t="str">
        <x:v>No</x:v>
      </x:c>
      <x:c r="J20" s="23" t="str">
        <x:v>Hold until every displayed number has a source, window, unit, definition, and denominator, and one claimed change is deployed. Suppress small groups when reporting could expose a participant.</x:v>
      </x:c>
    </x:row>
    <x:row r="21" ht="58" customHeight="1">
      <x:c r="A21" s="23" t="n">
        <x:v>16</x:v>
      </x:c>
      <x:c r="B21" s="35" t="n">
        <x:v>46238.666666666664</x:v>
      </x:c>
      <x:c r="C21" s="41" t="str">
        <x:v>No</x:v>
      </x:c>
      <x:c r="D21" s="41" t="str">
        <x:v>No</x:v>
      </x:c>
      <x:c r="E21" s="41" t="str">
        <x:v>N/A</x:v>
      </x:c>
      <x:c r="F21" s="41" t="str">
        <x:v>No</x:v>
      </x:c>
      <x:c r="G21" s="41" t="str">
        <x:v>No</x:v>
      </x:c>
      <x:c r="H21" s="41" t="str">
        <x:v>No</x:v>
      </x:c>
      <x:c r="I21" s="41" t="str">
        <x:v>No</x:v>
      </x:c>
      <x:c r="J21" s="23" t="str">
        <x:v>Hold until a funded production quest is open and its participant-visible rules match the post. Do not promise approval, payout timing, or universal cash rewards.</x:v>
      </x:c>
    </x:row>
    <x:row r="22" ht="58" customHeight="1">
      <x:c r="A22" s="23" t="n">
        <x:v>17</x:v>
      </x:c>
      <x:c r="B22" s="35" t="n">
        <x:v>46239.666666666664</x:v>
      </x:c>
      <x:c r="C22" s="41" t="str">
        <x:v>No</x:v>
      </x:c>
      <x:c r="D22" s="41" t="str">
        <x:v>No</x:v>
      </x:c>
      <x:c r="E22" s="41" t="str">
        <x:v>N/A</x:v>
      </x:c>
      <x:c r="F22" s="41" t="str">
        <x:v>No</x:v>
      </x:c>
      <x:c r="G22" s="41" t="str">
        <x:v>No</x:v>
      </x:c>
      <x:c r="H22" s="41" t="str">
        <x:v>No</x:v>
      </x:c>
      <x:c r="I22" s="41" t="str">
        <x:v>No</x:v>
      </x:c>
      <x:c r="J22" s="23" t="str">
        <x:v>Do not present the Gen Z result as an ages 18–25 estimate or proof that every young adult prefers short video.</x:v>
      </x:c>
    </x:row>
    <x:row r="23" ht="58" customHeight="1">
      <x:c r="A23" s="23" t="n">
        <x:v>18</x:v>
      </x:c>
      <x:c r="B23" s="35" t="n">
        <x:v>46240.666666666664</x:v>
      </x:c>
      <x:c r="C23" s="41" t="str">
        <x:v>No</x:v>
      </x:c>
      <x:c r="D23" s="41" t="str">
        <x:v>No</x:v>
      </x:c>
      <x:c r="E23" s="41" t="str">
        <x:v>No</x:v>
      </x:c>
      <x:c r="F23" s="41" t="str">
        <x:v>No</x:v>
      </x:c>
      <x:c r="G23" s="41" t="str">
        <x:v>No</x:v>
      </x:c>
      <x:c r="H23" s="41" t="str">
        <x:v>No</x:v>
      </x:c>
      <x:c r="I23" s="41" t="str">
        <x:v>No</x:v>
      </x:c>
      <x:c r="J23" s="23" t="str">
        <x:v>Hold until a real completion and resulting recommendation are recorded. Use a founder account in first person or store participant consent. Do not expose field notes, identity, or inferred mental state.</x:v>
      </x:c>
    </x:row>
    <x:row r="24" ht="58" customHeight="1">
      <x:c r="A24" s="23" t="n">
        <x:v>19</x:v>
      </x:c>
      <x:c r="B24" s="35" t="n">
        <x:v>46241.666666666664</x:v>
      </x:c>
      <x:c r="C24" s="41" t="str">
        <x:v>No</x:v>
      </x:c>
      <x:c r="D24" s="41" t="str">
        <x:v>No</x:v>
      </x:c>
      <x:c r="E24" s="41" t="str">
        <x:v>N/A</x:v>
      </x:c>
      <x:c r="F24" s="41" t="str">
        <x:v>No</x:v>
      </x:c>
      <x:c r="G24" s="41" t="str">
        <x:v>No</x:v>
      </x:c>
      <x:c r="H24" s="41" t="str">
        <x:v>No</x:v>
      </x:c>
      <x:c r="I24" s="41" t="str">
        <x:v>No</x:v>
      </x:c>
      <x:c r="J24" s="23" t="str">
        <x:v>Hold unless one production topic has a working Blue Radio chapter, published guide, current mission, and Blue guide-card route on publication day. If one route is missing, remove that panel.</x:v>
      </x:c>
    </x:row>
    <x:row r="25" ht="58" customHeight="1">
      <x:c r="A25" s="23" t="n">
        <x:v>20</x:v>
      </x:c>
      <x:c r="B25" s="35" t="n">
        <x:v>46242.666666666664</x:v>
      </x:c>
      <x:c r="C25" s="41" t="str">
        <x:v>No</x:v>
      </x:c>
      <x:c r="D25" s="41" t="str">
        <x:v>No</x:v>
      </x:c>
      <x:c r="E25" s="41" t="str">
        <x:v>N/A</x:v>
      </x:c>
      <x:c r="F25" s="41" t="str">
        <x:v>No</x:v>
      </x:c>
      <x:c r="G25" s="41" t="str">
        <x:v>No</x:v>
      </x:c>
      <x:c r="H25" s="41" t="str">
        <x:v>No</x:v>
      </x:c>
      <x:c r="I25" s="41" t="str">
        <x:v>No</x:v>
      </x:c>
      <x:c r="J25" s="23" t="str">
        <x:v>Do not publish hard-coded guide counts or reviewer credentials.</x:v>
      </x:c>
    </x:row>
    <x:row r="26" ht="58" customHeight="1">
      <x:c r="A26" s="23" t="n">
        <x:v>21</x:v>
      </x:c>
      <x:c r="B26" s="35" t="n">
        <x:v>46243.666666666664</x:v>
      </x:c>
      <x:c r="C26" s="41" t="str">
        <x:v>No</x:v>
      </x:c>
      <x:c r="D26" s="41" t="str">
        <x:v>No</x:v>
      </x:c>
      <x:c r="E26" s="41" t="str">
        <x:v>N/A</x:v>
      </x:c>
      <x:c r="F26" s="41" t="str">
        <x:v>No</x:v>
      </x:c>
      <x:c r="G26" s="41" t="str">
        <x:v>No</x:v>
      </x:c>
      <x:c r="H26" s="41" t="str">
        <x:v>No</x:v>
      </x:c>
      <x:c r="I26" s="41" t="str">
        <x:v>No</x:v>
      </x:c>
      <x:c r="J26" s="23" t="str">
        <x:v>Do not claim VTubers improve learning, treat loneliness, or represent all Gen Z viewers.</x:v>
      </x:c>
    </x:row>
    <x:row r="27" ht="58" customHeight="1">
      <x:c r="A27" s="23" t="n">
        <x:v>22</x:v>
      </x:c>
      <x:c r="B27" s="35" t="n">
        <x:v>46244.666666666664</x:v>
      </x:c>
      <x:c r="C27" s="41" t="str">
        <x:v>No</x:v>
      </x:c>
      <x:c r="D27" s="41" t="str">
        <x:v>No</x:v>
      </x:c>
      <x:c r="E27" s="41" t="str">
        <x:v>N/A</x:v>
      </x:c>
      <x:c r="F27" s="41" t="str">
        <x:v>No</x:v>
      </x:c>
      <x:c r="G27" s="41" t="str">
        <x:v>No</x:v>
      </x:c>
      <x:c r="H27" s="41" t="str">
        <x:v>No</x:v>
      </x:c>
      <x:c r="I27" s="41" t="str">
        <x:v>No</x:v>
      </x:c>
      <x:c r="J27" s="23" t="str">
        <x:v>Disclose prerecorded status. Do not describe proposed transcripts or episodes as shipped.</x:v>
      </x:c>
    </x:row>
    <x:row r="28" ht="58" customHeight="1">
      <x:c r="A28" s="23" t="n">
        <x:v>23</x:v>
      </x:c>
      <x:c r="B28" s="35" t="n">
        <x:v>46245.666666666664</x:v>
      </x:c>
      <x:c r="C28" s="41" t="str">
        <x:v>No</x:v>
      </x:c>
      <x:c r="D28" s="41" t="str">
        <x:v>No</x:v>
      </x:c>
      <x:c r="E28" s="41" t="str">
        <x:v>N/A</x:v>
      </x:c>
      <x:c r="F28" s="41" t="str">
        <x:v>No</x:v>
      </x:c>
      <x:c r="G28" s="41" t="str">
        <x:v>No</x:v>
      </x:c>
      <x:c r="H28" s="41" t="str">
        <x:v>No</x:v>
      </x:c>
      <x:c r="I28" s="41" t="str">
        <x:v>No</x:v>
      </x:c>
      <x:c r="J28" s="23" t="str">
        <x:v>Do not imply the broadcast observes or remembers what the listener heard.</x:v>
      </x:c>
    </x:row>
    <x:row r="29" ht="58" customHeight="1">
      <x:c r="A29" s="23" t="n">
        <x:v>24</x:v>
      </x:c>
      <x:c r="B29" s="35" t="n">
        <x:v>46246.666666666664</x:v>
      </x:c>
      <x:c r="C29" s="41" t="str">
        <x:v>No</x:v>
      </x:c>
      <x:c r="D29" s="41" t="str">
        <x:v>No</x:v>
      </x:c>
      <x:c r="E29" s="41" t="str">
        <x:v>N/A</x:v>
      </x:c>
      <x:c r="F29" s="41" t="str">
        <x:v>No</x:v>
      </x:c>
      <x:c r="G29" s="41" t="str">
        <x:v>No</x:v>
      </x:c>
      <x:c r="H29" s="41" t="str">
        <x:v>No</x:v>
      </x:c>
      <x:c r="I29" s="41" t="str">
        <x:v>No</x:v>
      </x:c>
      <x:c r="J29" s="23" t="str">
        <x:v>Hold until a production privacy audit documents notice text, public-profile behavior, field-note visibility, analytics flows, and advertising exclusions. Remove any claim the audit does not support.</x:v>
      </x:c>
    </x:row>
    <x:row r="30" ht="58" customHeight="1">
      <x:c r="A30" s="23" t="n">
        <x:v>25</x:v>
      </x:c>
      <x:c r="B30" s="35" t="n">
        <x:v>46247.666666666664</x:v>
      </x:c>
      <x:c r="C30" s="41" t="str">
        <x:v>No</x:v>
      </x:c>
      <x:c r="D30" s="41" t="str">
        <x:v>No</x:v>
      </x:c>
      <x:c r="E30" s="41" t="str">
        <x:v>No</x:v>
      </x:c>
      <x:c r="F30" s="41" t="str">
        <x:v>No</x:v>
      </x:c>
      <x:c r="G30" s="41" t="str">
        <x:v>No</x:v>
      </x:c>
      <x:c r="H30" s="41" t="str">
        <x:v>No</x:v>
      </x:c>
      <x:c r="I30" s="41" t="str">
        <x:v>No</x:v>
      </x:c>
      <x:c r="J30" s="23" t="str">
        <x:v>Hold if any evidence or permission is missing. No typical-earnings implication. Disclose any creator compensation.</x:v>
      </x:c>
    </x:row>
    <x:row r="31" ht="58" customHeight="1">
      <x:c r="A31" s="23" t="n">
        <x:v>26</x:v>
      </x:c>
      <x:c r="B31" s="35" t="n">
        <x:v>46248.666666666664</x:v>
      </x:c>
      <x:c r="C31" s="41" t="str">
        <x:v>No</x:v>
      </x:c>
      <x:c r="D31" s="41" t="str">
        <x:v>No</x:v>
      </x:c>
      <x:c r="E31" s="41" t="str">
        <x:v>N/A</x:v>
      </x:c>
      <x:c r="F31" s="41" t="str">
        <x:v>No</x:v>
      </x:c>
      <x:c r="G31" s="41" t="str">
        <x:v>No</x:v>
      </x:c>
      <x:c r="H31" s="41" t="str">
        <x:v>No</x:v>
      </x:c>
      <x:c r="I31" s="41" t="str">
        <x:v>No</x:v>
      </x:c>
      <x:c r="J31" s="23" t="str">
        <x:v>Hold until the current review and credit flow is verified in production or a staged demo is labeled on screen. Use 'credits' in outward copy. Make no claim of guaranteed approval, value, or financial appreciation.</x:v>
      </x:c>
    </x:row>
    <x:row r="32" ht="58" customHeight="1">
      <x:c r="A32" s="23" t="n">
        <x:v>27</x:v>
      </x:c>
      <x:c r="B32" s="35" t="n">
        <x:v>46249.666666666664</x:v>
      </x:c>
      <x:c r="C32" s="41" t="str">
        <x:v>No</x:v>
      </x:c>
      <x:c r="D32" s="41" t="str">
        <x:v>No</x:v>
      </x:c>
      <x:c r="E32" s="41" t="str">
        <x:v>N/A</x:v>
      </x:c>
      <x:c r="F32" s="41" t="str">
        <x:v>No</x:v>
      </x:c>
      <x:c r="G32" s="41" t="str">
        <x:v>No</x:v>
      </x:c>
      <x:c r="H32" s="41" t="str">
        <x:v>No</x:v>
      </x:c>
      <x:c r="I32" s="41" t="str">
        <x:v>No</x:v>
      </x:c>
      <x:c r="J32" s="23" t="str">
        <x:v>Call the finding directional. Do not claim young adults broadly prefer online education.</x:v>
      </x:c>
    </x:row>
    <x:row r="33" ht="58" customHeight="1">
      <x:c r="A33" s="23" t="n">
        <x:v>28</x:v>
      </x:c>
      <x:c r="B33" s="35" t="n">
        <x:v>46250.666666666664</x:v>
      </x:c>
      <x:c r="C33" s="41" t="str">
        <x:v>No</x:v>
      </x:c>
      <x:c r="D33" s="41" t="str">
        <x:v>No</x:v>
      </x:c>
      <x:c r="E33" s="41" t="str">
        <x:v>N/A</x:v>
      </x:c>
      <x:c r="F33" s="41" t="str">
        <x:v>No</x:v>
      </x:c>
      <x:c r="G33" s="41" t="str">
        <x:v>No</x:v>
      </x:c>
      <x:c r="H33" s="41" t="str">
        <x:v>No</x:v>
      </x:c>
      <x:c r="I33" s="41" t="str">
        <x:v>No</x:v>
      </x:c>
      <x:c r="J33" s="23" t="str">
        <x:v>Hold until the current production course titles, access rules, and week-sealing flow match the recording. Show no unreleased week or private learner content, and promise no outcome beyond the curriculum on screen.</x:v>
      </x:c>
    </x:row>
    <x:row r="34" ht="58" customHeight="1">
      <x:c r="A34" s="23" t="n">
        <x:v>29</x:v>
      </x:c>
      <x:c r="B34" s="35" t="n">
        <x:v>46251.666666666664</x:v>
      </x:c>
      <x:c r="C34" s="41" t="str">
        <x:v>No</x:v>
      </x:c>
      <x:c r="D34" s="41" t="str">
        <x:v>No</x:v>
      </x:c>
      <x:c r="E34" s="41" t="str">
        <x:v>No</x:v>
      </x:c>
      <x:c r="F34" s="41" t="str">
        <x:v>No</x:v>
      </x:c>
      <x:c r="G34" s="41" t="str">
        <x:v>No</x:v>
      </x:c>
      <x:c r="H34" s="41" t="str">
        <x:v>No</x:v>
      </x:c>
      <x:c r="I34" s="41" t="str">
        <x:v>No</x:v>
      </x:c>
      <x:c r="J34" s="23" t="str">
        <x:v>Hold until the recurring friction evidence, deployed change, and consent or attribution preference are documented. Do not expose support content or invent user feedback.</x:v>
      </x:c>
    </x:row>
    <x:row r="35" ht="58" customHeight="1">
      <x:c r="A35" s="23" t="n">
        <x:v>30</x:v>
      </x:c>
      <x:c r="B35" s="35" t="n">
        <x:v>46252.666666666664</x:v>
      </x:c>
      <x:c r="C35" s="41" t="str">
        <x:v>No</x:v>
      </x:c>
      <x:c r="D35" s="41" t="str">
        <x:v>No</x:v>
      </x:c>
      <x:c r="E35" s="41" t="str">
        <x:v>N/A</x:v>
      </x:c>
      <x:c r="F35" s="41" t="str">
        <x:v>No</x:v>
      </x:c>
      <x:c r="G35" s="41" t="str">
        <x:v>No</x:v>
      </x:c>
      <x:c r="H35" s="41" t="str">
        <x:v>No</x:v>
      </x:c>
      <x:c r="I35" s="41" t="str">
        <x:v>No</x:v>
      </x:c>
      <x:c r="J35" s="23" t="str">
        <x:v>Hold until every total has a source, window, definition, denominator, and limitation, and every participant artifact has permission. Publish no scarcity claim, resetting countdown, broad outcome claim, or press pitch without verifiable news.</x:v>
      </x:c>
    </x:row>
  </x:sheetData>
  <x:mergeCells>
    <x:mergeCell ref="A1:J1"/>
    <x:mergeCell ref="A2:J2"/>
  </x:mergeCells>
  <x:conditionalFormatting sqref="C6:I35">
    <x:cfRule type="containsText" dxfId="6" priority="1" operator="containsText" text="Yes"/>
    <x:cfRule type="containsText" dxfId="7" priority="2" operator="containsText" text="No"/>
  </x:conditionalFormatting>
  <x:dataValidations count="1">
    <x:dataValidation type="list" sqref="C6:I35">
      <x:formula1>"No,Yes,N/A"</x:formula1>
    </x:dataValidation>
  </x:dataValidations>
  <x:pageMargins left="0.7" right="0.7" top="0.75" bottom="0.75" header="0.3" footer="0.3"/>
  <x:tableParts count="1">
    <x:tablePart xmlns:r="http://schemas.openxmlformats.org/officeDocument/2006/relationships" r:id="R94d19463bbe84042"/>
  </x:tableParts>
</x:worksheet>
</file>

<file path=xl/worksheets/sheet6.xml><?xml version="1.0" encoding="utf-8"?>
<x:worksheet xmlns:x="http://schemas.openxmlformats.org/spreadsheetml/2006/main">
  <x:sheetViews>
    <x:sheetView showGridLines="0" workbookViewId="0"/>
  </x:sheetViews>
  <x:sheetFormatPr defaultRowHeight="15"/>
  <x:cols>
    <x:col min="1" max="1" width="21" hidden="0" customWidth="1"/>
    <x:col min="2" max="2" width="24" hidden="0" customWidth="1"/>
    <x:col min="3" max="3" width="42" hidden="0" customWidth="1"/>
    <x:col min="4" max="4" width="31" hidden="0" customWidth="1"/>
    <x:col min="5" max="5" width="42" hidden="0" customWidth="1"/>
    <x:col min="6" max="6" width="74" hidden="0" customWidth="1"/>
    <x:col min="7" max="7" width="28" hidden="0" customWidth="1"/>
    <x:col min="8" max="8" width="52" hidden="0" customWidth="1"/>
  </x:cols>
  <x:sheetData>
    <x:row r="1" ht="34" customHeight="1">
      <x:c r="A1" s="4" t="str">
        <x:v>Sources and Publication Guardrails</x:v>
      </x:c>
      <x:c r="B1" s="4"/>
      <x:c r="C1" s="4"/>
      <x:c r="D1" s="4"/>
      <x:c r="E1" s="4"/>
      <x:c r="F1" s="4"/>
      <x:c r="G1" s="4"/>
      <x:c r="H1" s="4"/>
    </x:row>
    <x:row r="2" ht="30" customHeight="1">
      <x:c r="A2" s="8" t="str">
        <x:v>External claims keep their population, date, method, and limitation. Local product claims keep their current implementation boundary.</x:v>
      </x:c>
      <x:c r="B2" s="8"/>
      <x:c r="C2" s="8"/>
      <x:c r="D2" s="8"/>
      <x:c r="E2" s="8"/>
      <x:c r="F2" s="8"/>
      <x:c r="G2" s="8"/>
      <x:c r="H2" s="8"/>
    </x:row>
    <x:row r="4" ht="34" customHeight="1">
      <x:c r="A4" s="13" t="str">
        <x:v>ID</x:v>
      </x:c>
      <x:c r="B4" s="13" t="str">
        <x:v>Category</x:v>
      </x:c>
      <x:c r="C4" s="13" t="str">
        <x:v>Source</x:v>
      </x:c>
      <x:c r="D4" s="13" t="str">
        <x:v>Publisher / Date</x:v>
      </x:c>
      <x:c r="E4" s="13" t="str">
        <x:v>Use in Calendar</x:v>
      </x:c>
      <x:c r="F4" s="13" t="str">
        <x:v>Direct URL or Local Path</x:v>
      </x:c>
      <x:c r="G4" s="13" t="str">
        <x:v>Evidence Type</x:v>
      </x:c>
      <x:c r="H4" s="13" t="str">
        <x:v>Publication Caveat</x:v>
      </x:c>
    </x:row>
    <x:row r="5" ht="58" customHeight="1">
      <x:c r="A5" s="24" t="str">
        <x:v>S01</x:v>
      </x:c>
      <x:c r="B5" s="22" t="str">
        <x:v>Startup marketing</x:v>
      </x:c>
      <x:c r="C5" s="22" t="str">
        <x:v>YC’s Essential Startup Advice</x:v>
      </x:c>
      <x:c r="D5" s="22" t="str">
        <x:v>Y Combinator · 2017-09-25</x:v>
      </x:c>
      <x:c r="E5" s="22" t="str">
        <x:v>Launch useful work, talk to users, iterate before scale</x:v>
      </x:c>
      <x:c r="F5" s="22" t="str">
        <x:v>https://www.ycombinator.com/blog/ycs-essential-startup-advice/</x:v>
      </x:c>
      <x:c r="G5" s="22" t="str">
        <x:v>First-party advice</x:v>
      </x:c>
      <x:c r="H5" s="22" t="str">
        <x:v>Treat as operating advice, not a performance benchmark.</x:v>
      </x:c>
    </x:row>
    <x:row r="6" ht="58" customHeight="1">
      <x:c r="A6" s="25" t="str">
        <x:v>S02</x:v>
      </x:c>
      <x:c r="B6" s="23" t="str">
        <x:v>Startup marketing</x:v>
      </x:c>
      <x:c r="C6" s="23" t="str">
        <x:v>Startup School Week 4 recap</x:v>
      </x:c>
      <x:c r="D6" s="23" t="str">
        <x:v>Y Combinator · 2019-09-25</x:v>
      </x:c>
      <x:c r="E6" s="23" t="str">
        <x:v>Continuous launches, community participation, retention</x:v>
      </x:c>
      <x:c r="F6" s="23" t="str">
        <x:v>https://www.ycombinator.com/blog/startup-school-week-4-recap-kat-manalac-and-gustaf-alstromer/</x:v>
      </x:c>
      <x:c r="G6" s="23" t="str">
        <x:v>First-party recap</x:v>
      </x:c>
      <x:c r="H6" s="23" t="str">
        <x:v>MWA’s four-week loop is an inference.</x:v>
      </x:c>
    </x:row>
    <x:row r="7" ht="58" customHeight="1">
      <x:c r="A7" s="25" t="str">
        <x:v>S03</x:v>
      </x:c>
      <x:c r="B7" s="23" t="str">
        <x:v>Campaign design</x:v>
      </x:c>
      <x:c r="C7" s="23" t="str">
        <x:v>Bringing Dark Patterns to Light</x:v>
      </x:c>
      <x:c r="D7" s="23" t="str">
        <x:v>Federal Trade Commission · 2022-09</x:v>
      </x:c>
      <x:c r="E7" s="23" t="str">
        <x:v>False countdown and scarcity lesson</x:v>
      </x:c>
      <x:c r="F7" s="23" t="str">
        <x:v>https://www.ftc.gov/system/files/ftc_gov/pdf/P214800%20Dark%20Patterns%20Report%209.14.2022%20-%20FINAL.pdf</x:v>
      </x:c>
      <x:c r="G7" s="23" t="str">
        <x:v>U.S. staff report</x:v>
      </x:c>
      <x:c r="H7" s="23" t="str">
        <x:v>Guidance is not a complete legal analysis.</x:v>
      </x:c>
    </x:row>
    <x:row r="8" ht="58" customHeight="1">
      <x:c r="A8" s="25" t="str">
        <x:v>S04</x:v>
      </x:c>
      <x:c r="B8" s="23" t="str">
        <x:v>Education access</x:v>
      </x:c>
      <x:c r="C8" s="23" t="str">
        <x:v>PIAAC 2017 National Results</x:v>
      </x:c>
      <x:c r="D8" s="23" t="str">
        <x:v>NCES · 2017 results</x:v>
      </x:c>
      <x:c r="E8" s="23" t="str">
        <x:v>Correct adult-literacy proficiency statistic</x:v>
      </x:c>
      <x:c r="F8" s="23" t="str">
        <x:v>https://nces.ed.gov/surveys/piaac/2017/national_results.asp</x:v>
      </x:c>
      <x:c r="G8" s="23" t="str">
        <x:v>U.S. national assessment</x:v>
      </x:c>
      <x:c r="H8" s="23" t="str">
        <x:v>Use Level 1 or below; do not convert to a grade level.</x:v>
      </x:c>
    </x:row>
    <x:row r="9" ht="58" customHeight="1">
      <x:c r="A9" s="25" t="str">
        <x:v>S05</x:v>
      </x:c>
      <x:c r="B9" s="23" t="str">
        <x:v>Audience</x:v>
      </x:c>
      <x:c r="C9" s="23" t="str">
        <x:v>Social Media Fact Sheet</x:v>
      </x:c>
      <x:c r="D9" s="23" t="str">
        <x:v>Pew Research Center · 2025-11-20</x:v>
      </x:c>
      <x:c r="E9" s="23" t="str">
        <x:v>18–29 platform reach</x:v>
      </x:c>
      <x:c r="F9" s="23" t="str">
        <x:v>https://www.pewresearch.org/internet/fact-sheet/social-media/</x:v>
      </x:c>
      <x:c r="G9" s="23" t="str">
        <x:v>Probability-based U.S. survey</x:v>
      </x:c>
      <x:c r="H9" s="23" t="str">
        <x:v>Ever-use estimates for ages 18–29 are not attention or conversion.</x:v>
      </x:c>
    </x:row>
    <x:row r="10" ht="58" customHeight="1">
      <x:c r="A10" s="25" t="str">
        <x:v>S06</x:v>
      </x:c>
      <x:c r="B10" s="23" t="str">
        <x:v>Audience</x:v>
      </x:c>
      <x:c r="C10" s="23" t="str">
        <x:v>2025 Digital Media Trends</x:v>
      </x:c>
      <x:c r="D10" s="23" t="str">
        <x:v>Deloitte · 2025-03-25</x:v>
      </x:c>
      <x:c r="E10" s="23" t="str">
        <x:v>Creator-led social video discovery hypothesis</x:v>
      </x:c>
      <x:c r="F10" s="23" t="str">
        <x:v>https://www.deloitte.com/us/en/insights/industry/technology/digital-media-trends-consumption-habits-survey/2025.html</x:v>
      </x:c>
      <x:c r="G10" s="23" t="str">
        <x:v>Weighted online U.S. survey</x:v>
      </x:c>
      <x:c r="H10" s="23" t="str">
        <x:v>Gen Z definition includes minors and adults older than 25.</x:v>
      </x:c>
    </x:row>
    <x:row r="11" ht="58" customHeight="1">
      <x:c r="A11" s="25" t="str">
        <x:v>S07</x:v>
      </x:c>
      <x:c r="B11" s="23" t="str">
        <x:v>Audio</x:v>
      </x:c>
      <x:c r="C11" s="23" t="str">
        <x:v>13–34 Year-Olds are Turning Up the Audio Dial</x:v>
      </x:c>
      <x:c r="D11" s="23" t="str">
        <x:v>Edison Research · 2026-05-06</x:v>
      </x:c>
      <x:c r="E11" s="23" t="str">
        <x:v>Audio as habitual/background media</x:v>
      </x:c>
      <x:c r="F11" s="23" t="str">
        <x:v>https://www.edisonresearch.com/13-34-year-olds-are-turning-up-the-audio-dial/</x:v>
      </x:c>
      <x:c r="G11" s="23" t="str">
        <x:v>Share of Ear dataset</x:v>
      </x:c>
      <x:c r="H11" s="23" t="str">
        <x:v>Age band includes minors and adults through 34; subgroup sample not public.</x:v>
      </x:c>
    </x:row>
    <x:row r="12" ht="58" customHeight="1">
      <x:c r="A12" s="25" t="str">
        <x:v>S08</x:v>
      </x:c>
      <x:c r="B12" s="23" t="str">
        <x:v>Virtual creators</x:v>
      </x:c>
      <x:c r="C12" s="23" t="str">
        <x:v>The Virtual Evolution of the Creator</x:v>
      </x:c>
      <x:c r="D12" s="23" t="str">
        <x:v>YouTube · 2025</x:v>
      </x:c>
      <x:c r="E12" s="23" t="str">
        <x:v>Directional virtual-creator reach</x:v>
      </x:c>
      <x:c r="F12" s="23" t="str">
        <x:v>https://services.google.com/fh/files/misc/youtubereport-vtubers.pdf</x:v>
      </x:c>
      <x:c r="G12" s="23" t="str">
        <x:v>Platform report</x:v>
      </x:c>
      <x:c r="H12" s="23" t="str">
        <x:v>Survey methodology and wide 14–44 band limit prevalence claims.</x:v>
      </x:c>
    </x:row>
    <x:row r="13" ht="58" customHeight="1">
      <x:c r="A13" s="25" t="str">
        <x:v>S09</x:v>
      </x:c>
      <x:c r="B13" s="23" t="str">
        <x:v>VTuber viewing</x:v>
      </x:c>
      <x:c r="C13" s="23" t="str">
        <x:v>Why does Gen Z watch virtual streaming VTube anime videos with avatars on Twitch?</x:v>
      </x:c>
      <x:c r="D13" s="23" t="str">
        <x:v>Li · 2023-09-13</x:v>
      </x:c>
      <x:c r="E13" s="23" t="str">
        <x:v>Viewing motivations and task usefulness</x:v>
      </x:c>
      <x:c r="F13" s="23" t="str">
        <x:v>https://doi.org/10.1515/omgc-2023-0030</x:v>
      </x:c>
      <x:c r="G13" s="23" t="str">
        <x:v>Peer-reviewed convenience sample</x:v>
      </x:c>
      <x:c r="H13" s="23" t="str">
        <x:v>Existing viewers from Reddit; nationality not collected.</x:v>
      </x:c>
    </x:row>
    <x:row r="14" ht="58" customHeight="1">
      <x:c r="A14" s="25" t="str">
        <x:v>S10</x:v>
      </x:c>
      <x:c r="B14" s="23" t="str">
        <x:v>Learning format</x:v>
      </x:c>
      <x:c r="C14" s="23" t="str">
        <x:v>Text versus video tutorial experiment</x:v>
      </x:c>
      <x:c r="D14" s="23" t="str">
        <x:v>Käfer, Kulesz, Wagner · 2017-04-01</x:v>
      </x:c>
      <x:c r="E14" s="23" t="str">
        <x:v>Video for orientation plus text for lookup hypothesis</x:v>
      </x:c>
      <x:c r="F14" s="23" t="str">
        <x:v>https://doi.org/10.22152/programming-journal.org/2017/1/17</x:v>
      </x:c>
      <x:c r="G14" s="23" t="str">
        <x:v>Experiment, n=42</x:v>
      </x:c>
      <x:c r="H14" s="23" t="str">
        <x:v>Software-engineering students; narrow context.</x:v>
      </x:c>
    </x:row>
    <x:row r="15" ht="58" customHeight="1">
      <x:c r="A15" s="25" t="str">
        <x:v>S11</x:v>
      </x:c>
      <x:c r="B15" s="23" t="str">
        <x:v>Online learning</x:v>
      </x:c>
      <x:c r="C15" s="23" t="str">
        <x:v>Young Adults Increasingly Choose Online Education</x:v>
      </x:c>
      <x:c r="D15" s="23" t="str">
        <x:v>Champlain College Online · 2025-05-13</x:v>
      </x:c>
      <x:c r="E15" s="23" t="str">
        <x:v>Three depth/time options</x:v>
      </x:c>
      <x:c r="F15" s="23" t="str">
        <x:v>https://online.champlain.edu/blog/young-adults-choosing-online-education-flexibility-affordability</x:v>
      </x:c>
      <x:c r="G15" s="23" t="str">
        <x:v>Publisher survey, n=2,032</x:v>
      </x:c>
      <x:c r="H15" s="23" t="str">
        <x:v>Selected college-oriented sample and incomplete public methodology.</x:v>
      </x:c>
    </x:row>
    <x:row r="16" ht="58" customHeight="1">
      <x:c r="A16" s="25" t="str">
        <x:v>S12</x:v>
      </x:c>
      <x:c r="B16" s="23" t="str">
        <x:v>Privacy</x:v>
      </x:c>
      <x:c r="C16" s="23" t="str">
        <x:v>FTC BetterHelp final order</x:v>
      </x:c>
      <x:c r="D16" s="23" t="str">
        <x:v>Federal Trade Commission · 2023-07-14</x:v>
      </x:c>
      <x:c r="E16" s="23" t="str">
        <x:v>Keep sensitive reflections out of advertising audiences</x:v>
      </x:c>
      <x:c r="F16" s="23" t="str">
        <x:v>https://www.ftc.gov/news-events/news/press-releases/2023/07/ftc-gives-final-approval-order-banning-betterhelp-sharing-sensitive-health-data-advertising</x:v>
      </x:c>
      <x:c r="G16" s="23" t="str">
        <x:v>Regulatory order</x:v>
      </x:c>
      <x:c r="H16" s="23" t="str">
        <x:v>Use for privacy design, not as evidence about therapy outcomes.</x:v>
      </x:c>
    </x:row>
    <x:row r="17" ht="58" customHeight="1">
      <x:c r="A17" s="25" t="str">
        <x:v>S13</x:v>
      </x:c>
      <x:c r="B17" s="23" t="str">
        <x:v>Product</x:v>
      </x:c>
      <x:c r="C17" s="23" t="str">
        <x:v>Blue Radio implementation</x:v>
      </x:c>
      <x:c r="D17" s="23" t="str">
        <x:v>Mental Wealth Academy · reviewed 2026-07-17</x:v>
      </x:c>
      <x:c r="E17" s="23" t="str">
        <x:v>Synchronized prerecorded orientation broadcast</x:v>
      </x:c>
      <x:c r="F17" s="23" t="str">
        <x:v>/Users/james/MentalWealthAcademy/components/blue-scene/BlueRadio.tsx</x:v>
      </x:c>
      <x:c r="G17" s="23" t="str">
        <x:v>Repository evidence</x:v>
      </x:c>
      <x:c r="H17" s="23" t="str">
        <x:v>Current manifest is 285.93 seconds and has no live interaction.</x:v>
      </x:c>
    </x:row>
    <x:row r="18" ht="58" customHeight="1">
      <x:c r="A18" s="25" t="str">
        <x:v>S14</x:v>
      </x:c>
      <x:c r="B18" s="23" t="str">
        <x:v>Product</x:v>
      </x:c>
      <x:c r="C18" s="23" t="str">
        <x:v>Blue Radio manifest</x:v>
      </x:c>
      <x:c r="D18" s="23" t="str">
        <x:v>Mental Wealth Academy · generated 2026-07-17</x:v>
      </x:c>
      <x:c r="E18" s="23" t="str">
        <x:v>Ten chapter titles and runtime</x:v>
      </x:c>
      <x:c r="F18" s="23" t="str">
        <x:v>/Users/james/MentalWealthAcademy/lib/blue-radio-manifest.json</x:v>
      </x:c>
      <x:c r="G18" s="23" t="str">
        <x:v>Repository evidence</x:v>
      </x:c>
      <x:c r="H18" s="23" t="str">
        <x:v>Do not imply unique day-and-night programming.</x:v>
      </x:c>
    </x:row>
    <x:row r="19" ht="58" customHeight="1">
      <x:c r="A19" s="25" t="str">
        <x:v>S15</x:v>
      </x:c>
      <x:c r="B19" s="23" t="str">
        <x:v>Product</x:v>
      </x:c>
      <x:c r="C19" s="23" t="str">
        <x:v>Guides recommendation route</x:v>
      </x:c>
      <x:c r="D19" s="23" t="str">
        <x:v>Mental Wealth Academy · reviewed 2026-07-17</x:v>
      </x:c>
      <x:c r="E19" s="23" t="str">
        <x:v>Next unlocked guide options from recorded completions</x:v>
      </x:c>
      <x:c r="F19" s="23" t="str">
        <x:v>/Users/james/MentalWealthAcademy/app/api/guides/recommend/route.ts</x:v>
      </x:c>
      <x:c r="G19" s="23" t="str">
        <x:v>Repository evidence</x:v>
      </x:c>
      <x:c r="H19" s="23" t="str">
        <x:v>Does not infer a curriculum from field-note meaning.</x:v>
      </x:c>
    </x:row>
    <x:row r="20" ht="58" customHeight="1">
      <x:c r="A20" s="25" t="str">
        <x:v>S16</x:v>
      </x:c>
      <x:c r="B20" s="23" t="str">
        <x:v>Brand</x:v>
      </x:c>
      <x:c r="C20" s="23" t="str">
        <x:v>Editorial Brand Book v4.0</x:v>
      </x:c>
      <x:c r="D20" s="23" t="str">
        <x:v>Mental Wealth Academy · 2026-07-10</x:v>
      </x:c>
      <x:c r="E20" s="23" t="str">
        <x:v>Voice, audience, Blue role, technology-backstage rule</x:v>
      </x:c>
      <x:c r="F20" s="23" t="str">
        <x:v>/Users/james/MentalWealthAcademy/EDITORIAL.md</x:v>
      </x:c>
      <x:c r="G20" s="23" t="str">
        <x:v>Canonical internal source</x:v>
      </x:c>
      <x:c r="H20" s="23" t="str">
        <x:v>Current product and deployment still require verification.</x:v>
      </x:c>
    </x:row>
    <x:row r="23" ht="34" customHeight="1">
      <x:c r="A23" s="13" t="str">
        <x:v>Publication guardrail</x:v>
      </x:c>
      <x:c r="B23" s="13" t="str">
        <x:v>Required action</x:v>
      </x:c>
    </x:row>
    <x:row r="24" ht="48" customHeight="1">
      <x:c r="A24" s="24" t="str">
        <x:v>Technology stays backstage</x:v>
      </x:c>
      <x:c r="B24" s="22" t="str">
        <x:v>Outward copy uses credits, real rewards, guides, missions, and member value. Remove chain names, tickers, wallet, token, NFT, and transaction language.</x:v>
      </x:c>
    </x:row>
    <x:row r="25" ht="48" customHeight="1">
      <x:c r="A25" s="25" t="str">
        <x:v>Blue Radio boundary</x:v>
      </x:c>
      <x:c r="B25" s="23" t="str">
        <x:v>Say prerecorded, synchronized, character-led, and roughly five minutes. Hold live tutor, interactive stream, personalization, or learning-efficacy claims.</x:v>
      </x:c>
    </x:row>
    <x:row r="26" ht="48" customHeight="1">
      <x:c r="A26" s="25" t="str">
        <x:v>Participant proof</x:v>
      </x:c>
      <x:c r="B26" s="23" t="str">
        <x:v>Require a real artifact, consent, attribution preference, privacy review, and typicality context before publication.</x:v>
      </x:c>
    </x:row>
    <x:row r="27" ht="48" customHeight="1">
      <x:c r="A27" s="25" t="str">
        <x:v>Numbers</x:v>
      </x:c>
      <x:c r="B27" s="23" t="str">
        <x:v>Record source, unit, population, window, as-of date, and limitation. Suppress tiny groups where privacy may be affected.</x:v>
      </x:c>
    </x:row>
    <x:row r="28" ht="48" customHeight="1">
      <x:c r="A28" s="25" t="str">
        <x:v>Rewards</x:v>
      </x:c>
      <x:c r="B28" s="23" t="str">
        <x:v>Publish the work, eligibility, rubric, reviewer, and operational status before credits or a cash bounty. Avoid value or earnings implications.</x:v>
      </x:c>
    </x:row>
    <x:row r="29" ht="48" customHeight="1">
      <x:c r="A29" s="25" t="str">
        <x:v>Mental-health boundary</x:v>
      </x:c>
      <x:c r="B29" s="23" t="str">
        <x:v>MWA provides education and structured reflection. Diagnosis, treatment, crisis response, and care belong with qualified services.</x:v>
      </x:c>
    </x:row>
    <x:row r="30" ht="48" customHeight="1">
      <x:c r="A30" s="25" t="str">
        <x:v>Urgency</x:v>
      </x:c>
      <x:c r="B30" s="23" t="str">
        <x:v>Use a deadline or capacity statement only when the exact constraint is real, owned, dated, and documented.</x:v>
      </x:c>
    </x:row>
    <x:row r="31" ht="48" customHeight="1">
      <x:c r="A31" s="25" t="str">
        <x:v>Live-site drift</x:v>
      </x:c>
      <x:c r="B31" s="23" t="str">
        <x:v>Verify deployed hero, CTA, price, proof totals, course access, and feature routes before reusing landing-page copy.</x:v>
      </x:c>
    </x:row>
  </x:sheetData>
  <x:mergeCells>
    <x:mergeCell ref="A1:H1"/>
    <x:mergeCell ref="A2:H2"/>
  </x:mergeCells>
  <x:pageMargins left="0.7" right="0.7" top="0.75" bottom="0.75" header="0.3" footer="0.3"/>
  <x:tableParts count="1">
    <x:tablePart xmlns:r="http://schemas.openxmlformats.org/officeDocument/2006/relationships" r:id="Rcfd04def2eb94a3e"/>
  </x:tableParts>
</x:worksheet>
</file>